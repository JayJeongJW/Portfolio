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Overview" sheetId="1" r:id="rId5"/>
    <sheet state="visible" name="01_TC_Portfolio" sheetId="2" r:id="rId6"/>
    <sheet state="visible" name="02_Evidence" sheetId="3" r:id="rId7"/>
  </sheets>
  <definedNames/>
  <calcPr/>
</workbook>
</file>

<file path=xl/sharedStrings.xml><?xml version="1.0" encoding="utf-8"?>
<sst xmlns="http://schemas.openxmlformats.org/spreadsheetml/2006/main" count="1472" uniqueCount="799">
  <si>
    <t>DAVE THE DIVER : IN THE JUNGLE · Gameplay QA Test Case</t>
  </si>
  <si>
    <t>DAVE THE DIVER : IN THE JUNGLE</t>
  </si>
  <si>
    <t>BTS CANDIDATES · Defect Evidence</t>
  </si>
  <si>
    <t>핵심 플레이 루프 기반 수동 테스트 · 실행 결과 반영본</t>
  </si>
  <si>
    <t>Gameplay QA Test Case Portfolio · 정재우</t>
  </si>
  <si>
    <t>테스트 대상</t>
  </si>
  <si>
    <t>DAVE THE DIVER - In the Jungle</t>
  </si>
  <si>
    <t>Fail 2건 · TC ID 연계 재현 절차 및 증빙</t>
  </si>
  <si>
    <t>테스트 방식</t>
  </si>
  <si>
    <t>직접 플레이 기반 수동 테스트</t>
  </si>
  <si>
    <t>입력 장치</t>
  </si>
  <si>
    <t>키보드 / 마우스</t>
  </si>
  <si>
    <t>작성자</t>
  </si>
  <si>
    <t>정재우</t>
  </si>
  <si>
    <t>테스트 범위</t>
  </si>
  <si>
    <t>DLC 진입/진행 · 담수호 탐험 · 전투/포획 · 귀환/정산 · 반쵸 그릴 · 우타라 마을 · 장비/성장 · 세타 숲</t>
  </si>
  <si>
    <t>결과 기준</t>
  </si>
  <si>
    <t>Pass / Fail / Blocked / Not Run / N/A</t>
  </si>
  <si>
    <t>작성 기준</t>
  </si>
  <si>
    <t>TEST TARGET · 테스트 대상</t>
  </si>
  <si>
    <t>기대결과는 인게임 안내·표시값, 기능 전후 데이터 정합성, 반복 확인된 규칙을 근거로 작성하며, 테스트 결과와 Defect / Observation / Improvement는 분리해 관리한다.</t>
  </si>
  <si>
    <t>PURPOSE · 작성 목적</t>
  </si>
  <si>
    <t>TEST SAVE · 기준 세이브</t>
  </si>
  <si>
    <t>DAVE THE DIVER
In the Jungle DLC</t>
  </si>
  <si>
    <t>DASHBOARD · 실행 결과</t>
  </si>
  <si>
    <t>핵심 플레이 루프를 기능·상태·데이터 흐름으로 분해하고
정상/예외/경계/지속성 관점의 수동 TC로 검증</t>
  </si>
  <si>
    <t>본편 엔딩 완료 세이브
PC / Steam</t>
  </si>
  <si>
    <t>BTS 후보 01 · DITJ-025 · 넉백 대상이 지형에 밀착된 상태에서 화살촉 피해가 0으로 처리되는 현상</t>
  </si>
  <si>
    <t>TC ID</t>
  </si>
  <si>
    <t>DITJ-025</t>
  </si>
  <si>
    <t>CORE LOOP · 핵심 검증 흐름</t>
  </si>
  <si>
    <t>테스트 결과</t>
  </si>
  <si>
    <t>Fail</t>
  </si>
  <si>
    <t>DLC 진입
정상 진입·퀘스트</t>
  </si>
  <si>
    <t>이슈유형</t>
  </si>
  <si>
    <t>Defect</t>
  </si>
  <si>
    <t>담수호 탐험
산소·적재 중량</t>
  </si>
  <si>
    <t>우선순위</t>
  </si>
  <si>
    <t>전투 / 포획
정글건·Q/Space</t>
  </si>
  <si>
    <t>P2</t>
  </si>
  <si>
    <t>분류</t>
  </si>
  <si>
    <t>귀환 정산
획득·재료 정합성</t>
  </si>
  <si>
    <t>전투/포획 &gt; 정글건 &gt; 지형 밀착 상태 화살촉 피해</t>
  </si>
  <si>
    <t>반쵸 그릴
메뉴·영업·정산</t>
  </si>
  <si>
    <t>게임 버전</t>
  </si>
  <si>
    <t>우타라 / 성장
하우징·장비</t>
  </si>
  <si>
    <t>v1.0.6.2087.steam</t>
  </si>
  <si>
    <t>세타 숲
턴제 전투·AP</t>
  </si>
  <si>
    <t>재현성</t>
  </si>
  <si>
    <t>동일 벽 밀착 상태에서 반복 확인</t>
  </si>
  <si>
    <t>TEST DESIGN FOCUS · 설계 중점</t>
  </si>
  <si>
    <t>재현 영상</t>
  </si>
  <si>
    <t>상태전이</t>
  </si>
  <si>
    <t>지역/전투/과적/턴/영업 등 Before → Event → After 상태 변화 검증</t>
  </si>
  <si>
    <t>https://drive.google.com/file/d/1iIg7cMr1FT6KVt5xrtAWzZGrwk4bsQjf/view?usp=sharing</t>
  </si>
  <si>
    <t>경계값</t>
  </si>
  <si>
    <t>산소·적재 중량·재료·AP 등 실제 경계 전후 처리 검증</t>
  </si>
  <si>
    <t>데이터 정합성</t>
  </si>
  <si>
    <t>포획 → 귀환 정산 → 재료 보유 → 메뉴 사용까지 데이터 연결 검증</t>
  </si>
  <si>
    <t>지속성</t>
  </si>
  <si>
    <t>정산·메뉴·배치·성장 결과가 재실행 후 유지되는지 검증</t>
  </si>
  <si>
    <t>문서화 기준</t>
  </si>
  <si>
    <t>테스트 결과와 이슈 성격을 분리하고, 경계값은 실행에서 확인한 수치를 기록. 유형은 주 검증 관점 1개를 대표 태그로 사용(정상·예외=성격, 경계·상태전이=기법, 지속성·복구·인터럽트·중복입력=리스크)</t>
  </si>
  <si>
    <t>진행/획득/소비/저장 영향은 P1, 주요 기능 P2, 조회·안내 P3</t>
  </si>
  <si>
    <t>재현 조건</t>
  </si>
  <si>
    <t>IN SCOPE · 포함 범위</t>
  </si>
  <si>
    <t>화살촉 공격에 넉백되는 소형 생물 / 대상 뒤쪽에 넉백 이동을 막는 벽 또는 지형이 존재하는 위치</t>
  </si>
  <si>
    <t>OUT OF SCOPE / EVIDENCE · 제외 및 증빙 운영</t>
  </si>
  <si>
    <t>DLC 진입/진행 · 담수호 탐험 · 전투/포획 · 귀환/정산
반쵸 그릴 · 우타라 마을 · 장비/성장 · 세타 숲</t>
  </si>
  <si>
    <t>스마트폰 독립 콘텐츠(마린카 블룸 등), DLC 핵심 루프와 직접 관련 없는 기본 게임 기능은 제외.
테스트 결과는 Pass/Fail 등으로 판정하고 이슈 성격은 Defect/Observation/Improvement로 별도 분류한다. Fail 또는 별도 검토 가치가 있는 항목만 BTS 후보로 선별한다.</t>
  </si>
  <si>
    <t>대분류 커버리지</t>
  </si>
  <si>
    <t>재현 절차</t>
  </si>
  <si>
    <t>TC 유형 분포</t>
  </si>
  <si>
    <t>우선순위 분포</t>
  </si>
  <si>
    <t>1) 대상 생물의 체력을 화살촉 공격으로 감소시킨다.
2) 벽과 충돌하지 않는 상태에서 화살촉 명중 시 피해 적용을 확인한다.
3) 화살촉 넉백으로 대상을 뒤쪽 벽에 밀착시킨다.
4) 벽에 밀착된 대상에게 동일한 화살촉 공격을 반복한다.
5) 피해 수치와 포획 가능 상태 전환 여부를 확인한다.</t>
  </si>
  <si>
    <t>이슈 요약</t>
  </si>
  <si>
    <t>BTS 후보 상세</t>
  </si>
  <si>
    <t>DLC 진입/진행</t>
  </si>
  <si>
    <t>총 97건의 TC 실행 결과(Pass 95 / Fail 2)를 반영했으며, Fail 2건의 상세 재현 절차와 증빙은 02_Evidence 시트에서 관리한다.</t>
  </si>
  <si>
    <t>기대 결과</t>
  </si>
  <si>
    <t>대상이 지형에 밀착되어 있더라도 명중한 화살촉 공격의 피해가 적용되어야 하며, 체력 소진 시 포획 가능한 상태로 전환되어야 한다.</t>
  </si>
  <si>
    <t>반쵸 그릴</t>
  </si>
  <si>
    <t>실제 결과</t>
  </si>
  <si>
    <t>벽과 충돌하지 않는 상태에서는 남은 체력에 해당하는 1 피해가 적용됨. 화살촉 넉백으로 대상이 뒤쪽 벽에 밀착된 이후에는 동일 공격 명중 시 피해가 0으로 처리되며, 반복 공격해도 체력이 소진되지 않아 포획 가능한 상태로 전환되지 않음.</t>
  </si>
  <si>
    <t>정상</t>
  </si>
  <si>
    <t>P1</t>
  </si>
  <si>
    <t>증빙 이미지 · DITJ-025 · EV-025-01 ~ EV-025-03</t>
  </si>
  <si>
    <t>벽 밀착 화살촉 피해 0</t>
  </si>
  <si>
    <t>담수호 탐험</t>
  </si>
  <si>
    <t>우타라 마을</t>
  </si>
  <si>
    <t>예외</t>
  </si>
  <si>
    <t>복구</t>
  </si>
  <si>
    <t>Observation</t>
  </si>
  <si>
    <t>DITJ-026</t>
  </si>
  <si>
    <t>카이만 지형 추적 정지</t>
  </si>
  <si>
    <t>전투/포획</t>
  </si>
  <si>
    <t>장비/성장</t>
  </si>
  <si>
    <t>경계</t>
  </si>
  <si>
    <t>인터럽트</t>
  </si>
  <si>
    <t>P3</t>
  </si>
  <si>
    <t>Improvement</t>
  </si>
  <si>
    <t>상세 재현 절차·증빙은 02_Evidence 시트 참조</t>
  </si>
  <si>
    <t>귀환/정산</t>
  </si>
  <si>
    <t>세타 숲</t>
  </si>
  <si>
    <t>중복입력</t>
  </si>
  <si>
    <t>합계</t>
  </si>
  <si>
    <t>이슈 합계</t>
  </si>
  <si>
    <t>QUICK GUIDE · TC 이해에 필요한 게임 고유 용어</t>
  </si>
  <si>
    <t>담수호</t>
  </si>
  <si>
    <t>DLC 주요 수중 탐험 지역</t>
  </si>
  <si>
    <t>정글건</t>
  </si>
  <si>
    <t>담수호 탐험에서 사용하는 DLC 전투 장비</t>
  </si>
  <si>
    <t>Q 포획</t>
  </si>
  <si>
    <t>적재 중량에 가산하지 않고 귀환 정산으로 보내는 포획 방식</t>
  </si>
  <si>
    <t>귀환 정산</t>
  </si>
  <si>
    <t>다이빙 종료 후 획득 생물·재료가 결과/보유 데이터로 반영되는 단계</t>
  </si>
  <si>
    <t>DLC에서 운영하는 식당 콘텐츠</t>
  </si>
  <si>
    <t>DITJ-025 / EV-025-01 · 벽 충돌 전 화살촉 피해 1</t>
  </si>
  <si>
    <t>DLC 주요 거점 지역</t>
  </si>
  <si>
    <t>AP·턴·스킬·도구를 사용하는 턴제 전투 지역</t>
  </si>
  <si>
    <t>전투 자원(AP)</t>
  </si>
  <si>
    <t>세타 숲에서 스킬 사용 시 소비되는 전투 자원</t>
  </si>
  <si>
    <t>DITJ-025 / EV-025-02 · 벽 밀착 후 동일 공격 피해 0</t>
  </si>
  <si>
    <t>DITJ-025 / EV-025-03 · 체력 소진 시 포획 상호작용 전환</t>
  </si>
  <si>
    <t>TEST ENVIRONMENT · 테스트 환경</t>
  </si>
  <si>
    <t>플랫폼</t>
  </si>
  <si>
    <t>EV-025-V01 · DITJ-025_04_WallCollision_Damage0.mp4</t>
  </si>
  <si>
    <t>PC / Steam</t>
  </si>
  <si>
    <t>OS</t>
  </si>
  <si>
    <t>Windows 11 Home 25H2</t>
  </si>
  <si>
    <t>CPU</t>
  </si>
  <si>
    <t>AMD Ryzen 7 5800X 8-Core Processor 3.80GHz</t>
  </si>
  <si>
    <t>GPU</t>
  </si>
  <si>
    <t>NVIDIA GeForce RTX 3080 10GB</t>
  </si>
  <si>
    <t>RAM</t>
  </si>
  <si>
    <t>32GB</t>
  </si>
  <si>
    <t>언어</t>
  </si>
  <si>
    <t>한국어</t>
  </si>
  <si>
    <t>해상도 / 화면</t>
  </si>
  <si>
    <t>2560 × 1440 / 전체 창 모드</t>
  </si>
  <si>
    <t>테스트 세이브</t>
  </si>
  <si>
    <t>본편 엔딩 완료 세이브</t>
  </si>
  <si>
    <t>테스트 일자</t>
  </si>
  <si>
    <t>테스트 구간</t>
  </si>
  <si>
    <t>In the Jungle DLC 주요 플레이 구간</t>
  </si>
  <si>
    <t>BTS 후보 02 · DITJ-026 · 카이만을 좁은 지형으로 유도 시 이동·공격이 정지하는 현상</t>
  </si>
  <si>
    <t>대분류</t>
  </si>
  <si>
    <t>중분류</t>
  </si>
  <si>
    <t>소분류</t>
  </si>
  <si>
    <t>유형</t>
  </si>
  <si>
    <t>테스트 사전조건</t>
  </si>
  <si>
    <t>테스트 데이터/조건</t>
  </si>
  <si>
    <t>테스트 수행방법</t>
  </si>
  <si>
    <t>기대결과</t>
  </si>
  <si>
    <t>BTS 이슈</t>
  </si>
  <si>
    <t>비고</t>
  </si>
  <si>
    <t>DITJ-001</t>
  </si>
  <si>
    <t>DLC 시작</t>
  </si>
  <si>
    <t>DLC 콘텐츠 진입</t>
  </si>
  <si>
    <t>전투/포획 &gt; 적 AI &gt; 카이만 지형 추적</t>
  </si>
  <si>
    <t>본편 엔딩 완료 세이브에서 In the Jungle DLC를 시작할 수 있는 상태</t>
  </si>
  <si>
    <t>PC / Steam / v1.0.6.2087.steam / 본편 엔딩 완료 세이브</t>
  </si>
  <si>
    <t>1) 본편 엔딩 완료 세이브를 불러와 현재 위치와 진행 상태를 확인한다.
2) In the Jungle DLC 시작 진입 화면을 연다.
3) DLC 시작을 선택하고 로딩이 완료될 때까지 진행한다.
4) 전환 완료 후 DLC의 초기 진행 화면과 조작 가능 상태를 확인한다.</t>
  </si>
  <si>
    <t>DLC 시작 선택 후 오류나 진행 중단 없이 In the Jungle 진행 상태로 전환되어야 한다.</t>
  </si>
  <si>
    <t>Pass</t>
  </si>
  <si>
    <t>-</t>
  </si>
  <si>
    <t>동일 조건에서 반복 재현</t>
  </si>
  <si>
    <t>DITJ-002</t>
  </si>
  <si>
    <t>https://drive.google.com/file/d/1C65CmPBBVAUhP4y1744ri5izNuICwhW5/view?usp=sharing</t>
  </si>
  <si>
    <t>진입 후 퀘스트 활성화</t>
  </si>
  <si>
    <t>In the Jungle DLC 시작 직후 퀘스트/할 일 확인이 가능한 상태</t>
  </si>
  <si>
    <t>DLC 시작 전·후 퀘스트 목록</t>
  </si>
  <si>
    <t>1) DLC 시작 전 현재 퀘스트/할 일 목록과 목표를 기록한다.
2) In the Jungle DLC를 시작한다.
3) 초기 연출과 지역 전환이 끝날 때까지 진행한다.
4) 시작 후 퀘스트/할 일 목록을 다시 열어 새 목표의 활성화 여부를 비교한다.</t>
  </si>
  <si>
    <t>DLC 시작 후 현재 진행 단계에 맞는 퀘스트 또는 목표가 활성화되어야 한다.</t>
  </si>
  <si>
    <t>DITJ-003</t>
  </si>
  <si>
    <t>지역 이동</t>
  </si>
  <si>
    <t>정글 지역 선택 및 이동</t>
  </si>
  <si>
    <t>정글 지역으로 이동 가능한 진행 상태</t>
  </si>
  <si>
    <t>정글 이동 선택지 / 이동 전 위치 / 이동 후 위치</t>
  </si>
  <si>
    <t>1) 지역 이동 목록에서 정글 지역을 선택하고 이동을 확정한다.
2) 로딩 또는 이동 연출이 끝날 때까지 진행한다.
3) 이동 완료 후 현재 지역 표시와 캐릭터 조작 가능 여부를 확인한다.</t>
  </si>
  <si>
    <t>선택한 정글 지역으로 이동한 뒤 캐릭터 이동·상호작용이 가능해야 한다.</t>
  </si>
  <si>
    <t>DITJ-004</t>
  </si>
  <si>
    <t>퀘스트 진행</t>
  </si>
  <si>
    <t>지역 이동 전후 목표 갱신</t>
  </si>
  <si>
    <t>정글 이동 전 퀘스트 목표가 표시된 상태</t>
  </si>
  <si>
    <t>이동 전 목표 / 정글 이동 / 이동 후 목표</t>
  </si>
  <si>
    <t>1) 정글 이동 전 현재 퀘스트 목표와 안내 문구를 기록한다.
2) 정글 지역 이동을 실행한다.
3) 지역 전환이 완료된 뒤 퀘스트/할 일 목록을 다시 확인한다.
4) 이동 전·후 목표가 현재 진행 단계에 맞게 변경되었는지 비교한다.</t>
  </si>
  <si>
    <t>지역 이동 이후 퀘스트 목표와 안내가 현재 진행 상태에 맞게 갱신되어야 한다.</t>
  </si>
  <si>
    <t>담수호에서 카이만과 전투 가능한 상태 / 데이브만 통과 가능한 좁은 지형이 있는 카이만 출현 구역</t>
  </si>
  <si>
    <t>DITJ-005</t>
  </si>
  <si>
    <t>진행 상태</t>
  </si>
  <si>
    <t>컷신 종료 후 조작 복귀</t>
  </si>
  <si>
    <t>정글 이동 과정에서 컷신이 재생되는 구간</t>
  </si>
  <si>
    <t>지역 이동 컷신 / 컷신 종료 직후</t>
  </si>
  <si>
    <t>1) 정글 이동을 진행해 컷신을 재생한다.
2) 컷신 종료까지 기다린다.
3) 종료 직후 이동과 기본 조작을 수행한다.</t>
  </si>
  <si>
    <t>컷신 종료 후 별도 재진입 없이 이동·상호작용 등 기본 조작을 사용할 수 있어야 한다.</t>
  </si>
  <si>
    <t>DITJ-006</t>
  </si>
  <si>
    <t>탐험 진입</t>
  </si>
  <si>
    <t>담수호 진입 및 탐험 상태 전환</t>
  </si>
  <si>
    <t>1) 카이만에게 접근해 데이브를 추적하도록 유도한다.
2) 데이브만 통과 가능한 좁은 지형으로 이동한다.
3) 카이만이 해당 지형까지 추적하도록 유도한다.
4) 카이만의 이동·공격 및 지형 이탈 여부를 확인한다.
5) 고정된 상태에서 카이만을 공격해 대응 여부를 확인한다.</t>
  </si>
  <si>
    <t>담수호 다이빙 지점에서 상호작용할 수 있는 상태</t>
  </si>
  <si>
    <t>다이빙 전 육상 상태 / 다이빙 지점</t>
  </si>
  <si>
    <t>1) 육상 상태에서 현재 조작과 HUD를 확인한다.
2) 담수호 다이빙 지점으로 이동해 진입 상호작용을 수행한다.
3) 지역 전환이 끝난 뒤 수중 HUD가 표시되는지 확인한다.
4) 이동·상호작용 등 기본 수중 조작을 수행해 탐험 상태 전환을 확인한다.</t>
  </si>
  <si>
    <t>담수호 진입 후 수중 HUD가 표시되고 이동·상호작용 등 기본 수중 조작이 가능해야 한다.</t>
  </si>
  <si>
    <t>DITJ-007</t>
  </si>
  <si>
    <t>탐험 정보</t>
  </si>
  <si>
    <t>탐험 HUD 표시</t>
  </si>
  <si>
    <t>카이만이 추적 과정에서 지형에 고정되어 이동과 공격을 수행하지 못하는 상태가 지속되지 않아야 하며, 이동 가능한 영역에서 추적 또는 전투 행동을 계속해야 한다.</t>
  </si>
  <si>
    <t>담수호 진입이 완료된 상태</t>
  </si>
  <si>
    <t>산소 / 적재 중량 / 현재 장비 등 탐험 HUD</t>
  </si>
  <si>
    <t>1) 담수호에 진입해 일반 탐험 상태를 만든다.
2) 산소, 적재 중량, 현재 장비 등 탐험에 필요한 HUD 항목이 표시되는 위치와 값을 확인한다.</t>
  </si>
  <si>
    <t>산소, 적재 중량, 장비 등 탐험 진행에 필요한 정보가 화면에서 확인 가능해야 한다.</t>
  </si>
  <si>
    <t>특정 좁은 지형으로 유도하면 카이만이 지형에 고정되어 이후 이동과 공격을 수행하지 못함. 해당 상태에서도 데이브는 자유롭게 이동 및 공격할 수 있어 카이만의 대응 없이 처치 가능하며, 동일 조건에서 반복 재현됨.</t>
  </si>
  <si>
    <t>DITJ-008</t>
  </si>
  <si>
    <t>산소</t>
  </si>
  <si>
    <t>탐험 중 산소 소비</t>
  </si>
  <si>
    <t>산소가 충분하고 산소 보충 행동을 하지 않는 담수호 탐험 상태</t>
  </si>
  <si>
    <t>동일 위치·동일 행동 조건 / 시작 산소 / 일정 시간 후 산소</t>
  </si>
  <si>
    <t>1) 산소 보충 요소의 영향을 받지 않는 위치에서 시작 산소를 기록한다.
2) 대시·피격·상태이상 없이 동일한 행동 조건으로 일정 시간 탐험한다.
3) 종료 시점의 산소를 기록한다.
4) 시작값과 종료값을 비교해 시간 경과에 따른 산소 소비를 확인한다.</t>
  </si>
  <si>
    <t>탐험 시간이 경과하면 산소가 감소해야 한다.</t>
  </si>
  <si>
    <t>DITJ-009</t>
  </si>
  <si>
    <t>산소 보충</t>
  </si>
  <si>
    <t>산소가 최대치보다 감소했으며 산소 보충 수단을 사용할 수 있는 상태</t>
  </si>
  <si>
    <t>보충 전 산소 / O2 보충 수단 / 보충 후 산소</t>
  </si>
  <si>
    <t>1) 산소를 최대치보다 낮은 상태로 만든 뒤 현재 수치를 기록한다.
2) 사용 가능한 O2 보충 수단에 접근한다.
3) 보충 상호작용을 수행한다.
4) 보충 직후 산소 수치와 최대치 초과 여부를 확인한다.</t>
  </si>
  <si>
    <t>산소 보충 후 현재 산소가 증가하고 최대 보유량을 초과하지 않아야 한다.</t>
  </si>
  <si>
    <t>DITJ-010</t>
  </si>
  <si>
    <t>최대치 인접 상태 보충</t>
  </si>
  <si>
    <t>산소가 최대치에 가까우나 일부 감소한 상태</t>
  </si>
  <si>
    <t>최대치 직전 산소 / O2 보충 수단</t>
  </si>
  <si>
    <t>1) 산소를 최대치 바로 아래까지 조정하고 현재 수치를 기록한다.
2) O2 보충 수단에 접근한다.
3) 보충을 실행한다.
4) 보충 후 값이 최대치에서 정상적으로 제한되는지 확인한다.</t>
  </si>
  <si>
    <t>보충 결과가 산소 최대치를 초과해 비정상 표시되지 않아야 한다.</t>
  </si>
  <si>
    <t>DITJ-011</t>
  </si>
  <si>
    <t>산소 고갈 처리</t>
  </si>
  <si>
    <t>안전하게 산소 고갈 상태를 확인할 수 있는 탐험 상태</t>
  </si>
  <si>
    <t>산소 0 도달 전·후 / 현재 체력 또는 탐험 상태</t>
  </si>
  <si>
    <t>1) 산소를 낮은 상태까지 소비하고 고갈 직전 수치를 확인한다.
2) 추가 보충 없이 탐험을 지속해 산소가 0에 도달하게 한다.
3) 0 도달 직후 HUD와 캐릭터 상태 변화를 확인한다.
4) 이후 입력과 탐험 종료/실패 처리에 상태 불일치가 남는지 확인한다.</t>
  </si>
  <si>
    <t>산소가 0에 도달하면 고갈 처리로 전환되고, 이후 화면·입력·탐험 종료 상태가 서로 충돌하지 않아야 한다.</t>
  </si>
  <si>
    <t>산소 0 도달 후 실패·복구 흐름은 실행 결과에 함께 기록.</t>
  </si>
  <si>
    <t>DITJ-012</t>
  </si>
  <si>
    <t>적재 중량</t>
  </si>
  <si>
    <t>일반 획득 중량 반영</t>
  </si>
  <si>
    <t>적재 중량에 여유가 있고 일반 방식으로 획득 가능한 대상이 있는 상태</t>
  </si>
  <si>
    <t>획득 전 중량 / 획득 대상 표시 중량 / 획득 후 중량</t>
  </si>
  <si>
    <t>증빙 이미지 · DITJ-026 · EV-026-01 ~ EV-026-03</t>
  </si>
  <si>
    <t>1) 일반 획득 전 현재 적재 중량을 기록한다.
2) 표시 중량을 확인할 수 있는 대상 또는 재료를 선택한다.
3) Q 포획이 아닌 일반 획득 방식으로 대상을 처리한다.
4) 획득 직후 적재 중량과 획득물 상태를 확인한다.</t>
  </si>
  <si>
    <t>일반 획득 결과가 현재 적재 중량에 반영되어야 한다.</t>
  </si>
  <si>
    <t>DITJ-013</t>
  </si>
  <si>
    <t>1단계 과적 진입 및 상태 표시</t>
  </si>
  <si>
    <t>적재 중량을 1단계 과적 경계 직전까지 조정할 수 있는 상태</t>
  </si>
  <si>
    <t>1단계 과적 최초 발생 중량 215.1kg</t>
  </si>
  <si>
    <t>1) 정상 적재 상태에서 현재 중량과 상태 표시를 기록한다.
2) 소량의 획득물을 추가하며 중량을 단계적으로 증가시킨다.
3) 첫 번째 과적 표시가 나타나는 순간의 중량을 기록한다.
4) 직전 중량과 최초 과적 중량을 비교해 경계 구간을 확인한다.
5) 과적 아이콘과 이동 상태가 함께 변경되는지 확인한다.</t>
  </si>
  <si>
    <t>1단계 과적 경계를 넘으면 정상 적재 상태와 구분되는 과적 표시가 나타나야 한다.</t>
  </si>
  <si>
    <t>표시 적재 한도 215.0kg 초과 직후 215.1kg에서 1단계 과적 상태 진입 확인.</t>
  </si>
  <si>
    <t>DITJ-014</t>
  </si>
  <si>
    <t>1단계 이동 패널티</t>
  </si>
  <si>
    <t>1단계 과적 상태를 유지할 수 있는 상태</t>
  </si>
  <si>
    <t>정상 중량 상태와 동일 이동 구간 / 1단계 과적 상태</t>
  </si>
  <si>
    <t>1) 정상 중량 상태에서 동일 구간을 동일한 이동 입력으로 이동해 기준을 잡는다.
2) 1단계 과적 상태를 만든다.
3) 같은 출발점에서 같은 구간을 동일한 방식으로 이동한다.
4) 정상 상태와 비교해 이동 속도 저하가 발생하는지 확인한다.</t>
  </si>
  <si>
    <t>1단계 과적 상태에서는 정상 중량 상태보다 이동 속도가 감소해야 한다.</t>
  </si>
  <si>
    <t>DITJ-015</t>
  </si>
  <si>
    <t>1단계 산소 패널티</t>
  </si>
  <si>
    <t>같은 위치에서 정상 상태와 1단계 과적 상태를 비교할 수 있는 상태</t>
  </si>
  <si>
    <t>동일 위치·동일 시간 / 정상 상태 산소 변화 / 1단계 과적 산소 변화</t>
  </si>
  <si>
    <t>1) 동일 위치에서 정상 중량 상태의 시작 산소를 기록한다.
2) 대시·피격 없이 일정 시간 대기/이동한 뒤 산소 감소량을 기록한다.
3) 같은 위치에서 1단계 과적 상태를 만든다.
4) 동일 시간과 행동 조건으로 다시 산소 감소량을 기록한다.
5) 정상 상태와 1단계 과적 상태의 감소량을 비교한다.</t>
  </si>
  <si>
    <t>1단계 과적 상태에서는 정상 상태보다 산소가 더 빠르게 소비되어야 한다.</t>
  </si>
  <si>
    <t>DITJ-016</t>
  </si>
  <si>
    <t>2단계 과적 진입 및 상태 표시</t>
  </si>
  <si>
    <t>1단계 과적 상태에서 추가 적재가 가능한 상태</t>
  </si>
  <si>
    <t>2단계 과적 최초 발생 중량 235.0kg</t>
  </si>
  <si>
    <t>1) 1단계 과적 상태의 현재 중량과 표시를 기록한다.
2) 추가 획득이 가능한 범위에서 중량을 단계적으로 증가시킨다.
3) 1단계와 다른 상위 과적 표시가 나타나는 시점을 찾는다.
4) 최초 발생 중량을 기록한다.
5) 1단계와 2단계의 상태 표시 차이를 확인한다.</t>
  </si>
  <si>
    <t>2단계 과적 경계를 넘으면 1단계와 구분되는 상위 과적 상태 표시가 나타나야 한다.</t>
  </si>
  <si>
    <t>적재 중량 235.0kg에서 2단계 과적 상태 진입 확인.</t>
  </si>
  <si>
    <t>DITJ-017</t>
  </si>
  <si>
    <t>2단계 추가 획득 제한</t>
  </si>
  <si>
    <t>2단계 과적 상태이며 일반 획득 가능한 대상이 근처에 있는 상태</t>
  </si>
  <si>
    <t>일반 획득 대상 / 2단계 과적 상태</t>
  </si>
  <si>
    <t>1) 2단계 과적 상태를 만든 뒤 현재 중량과 상태 표시를 확인한다.
2) 일반 방식으로 획득 가능한 대상에 접근한다.
3) 추가 획득 입력을 시도한다.
4) 획득 가능 여부, 안내 표시, 적재 중량 변화를 함께 확인한다.</t>
  </si>
  <si>
    <t>2단계 과적 상태에서 일반 추가 획득 제한이 적용되고, 획득 시도만으로 적재 중량이 비정상 증가하지 않아야 한다.</t>
  </si>
  <si>
    <t>DITJ-018</t>
  </si>
  <si>
    <t>2단계 이동 패널티</t>
  </si>
  <si>
    <t>1단계와 2단계 과적 상태를 각각 유지할 수 있는 상태</t>
  </si>
  <si>
    <t>동일 이동 구간 / 1단계 과적 / 2단계 과적</t>
  </si>
  <si>
    <t>1) 1단계 과적 상태에서 기준 이동 구간을 이동한다.
2) 동일한 위치에서 2단계 과적 상태로 변경한다.
3) 같은 이동 입력으로 같은 구간을 다시 이동한다.
4) 두 단계의 이동 상태 차이를 비교한다.</t>
  </si>
  <si>
    <t>2단계 과적 상태에서는 1단계보다 이동 속도가 더 감소해야 한다.</t>
  </si>
  <si>
    <t>DITJ-019</t>
  </si>
  <si>
    <t>2단계 산소 패널티</t>
  </si>
  <si>
    <t>같은 위치에서 1단계와 2단계 과적 상태를 비교할 수 있는 상태</t>
  </si>
  <si>
    <t>동일 위치·동일 시간 / 1단계 산소 변화 / 2단계 산소 변화</t>
  </si>
  <si>
    <t>1) 동일 위치에서 1단계 과적 상태의 시작 산소를 기록한다.
2) 일정 시간 동일한 행동을 수행한 뒤 산소 감소량을 기록한다.
3) 같은 위치에서 2단계 과적 상태로 변경한다.
4) 동일 시간과 행동 조건으로 산소 감소량을 다시 기록한다.
5) 1단계와 2단계의 감소량을 비교한다.</t>
  </si>
  <si>
    <t>2단계 과적 상태에서는 1단계보다 산소가 더 빠르게 소비되어야 한다.</t>
  </si>
  <si>
    <t>DITJ-026 / EV-026-01 · 카이만 정상 추적 상태</t>
  </si>
  <si>
    <t>DITJ-020</t>
  </si>
  <si>
    <t>과적 단계 해제</t>
  </si>
  <si>
    <t>1단계 또는 2단계 과적 상태에서 중량을 낮출 수 있는 상태</t>
  </si>
  <si>
    <t>DITJ-026 / EV-026-02 · 좁은 지형 진입 후 AI 고정</t>
  </si>
  <si>
    <t>현재 과적 단계 / 버리기 가능한 획득물 / 경계 아래 중량</t>
  </si>
  <si>
    <t>1) 현재 과적 단계와 적재 중량, 상태 표시를 기록한다.
2) 버릴 수 있는 획득물을 선택해 중량을 현재 단계 경계 아래로 낮춘다.
3) 상태 표시가 하위 단계로 변경되는지 확인한다.
4) 이동 상태가 함께 복구되는지 확인한다.
5) 같은 조건에서 산소 소비 패널티도 하위 단계에 맞게 변경되는지 확인한다.</t>
  </si>
  <si>
    <t>중량이 경계 아래로 내려가면 현재 중량에 맞는 하위 적재 상태로 복귀해야 한다.</t>
  </si>
  <si>
    <t>DITJ-026 / EV-026-03 · 행동 정지 상태에서 공격 가능</t>
  </si>
  <si>
    <t>DITJ-021</t>
  </si>
  <si>
    <t>채집</t>
  </si>
  <si>
    <t>수중 채광 및 획득</t>
  </si>
  <si>
    <t>EV-026-V01 · DITJ-026_04_Caiman_AI_Stuck.mp4</t>
  </si>
  <si>
    <t>담수호에서 채광 가능한 오브젝트에 접근할 수 있는 상태</t>
  </si>
  <si>
    <t>채광 대상 / 채광 전·후 획득물</t>
  </si>
  <si>
    <t>1) 채광 가능한 오브젝트에 접근한다.
2) 채광 상호작용을 수행한다.
3) 채광 완료 후 획득 결과를 확인한다.</t>
  </si>
  <si>
    <t>채광 완료 후 획득한 재료가 현재 탐험 획득물에 추가되어야 한다.</t>
  </si>
  <si>
    <t>DITJ-022</t>
  </si>
  <si>
    <t>탈출</t>
  </si>
  <si>
    <t>긴급 탈출 및 탐험 종료</t>
  </si>
  <si>
    <t>담수호 내부에서 긴급 탈출 수단을 사용할 수 있는 상태</t>
  </si>
  <si>
    <t>긴급 탈출 상호작용 지점 / 현재 탐험 획득 상태</t>
  </si>
  <si>
    <t>1) 담수호 탐험 중 긴급 탈출 지점에 접근한다.
2) 탈출 전 현재 획득물과 탐험 상태를 확인한다.
3) 긴급 탈출 상호작용을 실행한다.
4) 탐험 종료 후 귀환/결과 단계로 정상 전환되는지 확인한다.</t>
  </si>
  <si>
    <t>긴급 탈출 상호작용이 완료되면 수면까지 직접 이동하지 않아도 탐험이 종료되고 귀환 결과 단계로 전환되어야 한다.</t>
  </si>
  <si>
    <t>DITJ-023</t>
  </si>
  <si>
    <t>장비 선택</t>
  </si>
  <si>
    <t>담수호 탐험 중 정글건을 사용할 수 있는 상태</t>
  </si>
  <si>
    <t>마우스 휠 장비 선택 / 정글건</t>
  </si>
  <si>
    <t>1) 담수호 탐험 중 장비 선택 UI를 연다.
2) 정글건을 선택한다.
3) 선택 후 현재 장비 표시와 실제 조작 장비가 정글건으로 변경되는지 확인한다.</t>
  </si>
  <si>
    <t>선택한 정글건이 현재 사용 장비로 변경되어야 한다.</t>
  </si>
  <si>
    <t>DITJ-024</t>
  </si>
  <si>
    <t>조준 및 공격</t>
  </si>
  <si>
    <t>정글건을 장착하고 공격 가능한 생물이 있는 상태</t>
  </si>
  <si>
    <t>정글건 스나이퍼 / 우클릭 조준 / 공격 대상</t>
  </si>
  <si>
    <t>1) 정글건으로 공격 가능한 생물을 조준한다.
2) 공격 입력을 수행한다.
3) 발사 결과와 대상의 피격 반응이 조준 대상에 일치하는지 확인한다.</t>
  </si>
  <si>
    <t>조준과 공격 입력이 정상 처리되고 명중 시 대상에게 공격 결과가 적용되어야 한다.</t>
  </si>
  <si>
    <t>지형 밀착 상태 화살촉 피해</t>
  </si>
  <si>
    <t>화살촉 공격에 넉백되는 생물과 전투할 수 있는 상태</t>
  </si>
  <si>
    <t>넉백되는 생물 / 뒤쪽에 벽이 있는 위치 / 벽 충돌 전·후</t>
  </si>
  <si>
    <t>1) 대상 생물의 체력을 화살촉 공격으로 감소시킨다.
2) 동일 대상이 벽과 충돌하지 않는 상태에서 화살촉을 명중시켜 피해 적용을 확인한다.
3) 해당 대상을 뒤쪽에 벽이 있는 위치로 유도한다.
4) 화살촉 넉백으로 대상을 벽에 밀착시킨 뒤 동일한 공격을 반복한다.
5) 피해 수치와 체력 소진 후 포획 상호작용 상태 전환 여부를 확인한다.</t>
  </si>
  <si>
    <t>화살촉 공격이 명중하면 대상의 뒤쪽 지형 충돌 여부와 관계없이 피해가 적용되고, 체력이 소진되면 포획 가능한 상태로 전환되어야 한다.</t>
  </si>
  <si>
    <t>BTS 후보</t>
  </si>
  <si>
    <t>벽과 충돌하지 않은 상태에서는 남은 체력에 해당하는 1 피해가 적용되었으나, 넉백으로 벽에 밀착된 이후에는 동일 공격 명중 시 0 피해가 반복되어 처치·포획 상태로 전환되지 않음.</t>
  </si>
  <si>
    <t>적 AI</t>
  </si>
  <si>
    <t>카이만 지형 추적</t>
  </si>
  <si>
    <t>담수호에서 카이만의 추적을 유도할 수 있는 상태</t>
  </si>
  <si>
    <t>데이브만 통과 가능한 좁은 지형이 있는 카이만 출현 구역</t>
  </si>
  <si>
    <t>1) 카이만에게 접근해 데이브를 추적하도록 유도한다.
2) 데이브만 통과 가능한 좁은 지형 방향으로 이동한다.
3) 카이만이 해당 지형까지 추적하도록 유도한다.
4) 지형 진입 이후 카이만의 이동·공격 및 이탈 가능 여부를 확인한다.
5) 카이만이 해당 위치에 머무는 상태에서 공격해 대응 여부를 확인한다.</t>
  </si>
  <si>
    <t>카이만이 추적 과정에서 지형에 고정되어 이동·공격이 불가능한 상태로 지속되지 않아야 하며, 전투 가능한 범위에서 추적 또는 전투 행동을 이어갈 수 있어야 한다.</t>
  </si>
  <si>
    <t>특정 좁은 지형으로 유도하면 카이만이 지형에 고정되어 이동·공격을 수행하지 못하고, 데이브가 일방적으로 공격할 수 있는 상태가 됨. 동일 조건에서 반복 재현.</t>
  </si>
  <si>
    <t>DITJ-027</t>
  </si>
  <si>
    <t>전투 상태</t>
  </si>
  <si>
    <t>생물 피격 후 조작 유지</t>
  </si>
  <si>
    <t>공격 행동을 하는 생물과 교전 가능한 상태</t>
  </si>
  <si>
    <t>일반 생물 공격 / 피격 전·후 캐릭터 상태</t>
  </si>
  <si>
    <t>1) 생물의 공격 범위에 진입해 공격을 유도한다.
2) 공격에 피격되어 캐릭터의 피격 상태를 확인한다.
3) 피격 모션/상태가 끝난 직후 이동을 수행한다.
4) 장비 선택·조준 등 기본 조작도 정상 복귀했는지 확인한다.</t>
  </si>
  <si>
    <t>피격 결과가 캐릭터 상태에 반영되고, 피격 처리 후 일반 탐험 조작이 가능해야 한다.</t>
  </si>
  <si>
    <t>DITJ-028</t>
  </si>
  <si>
    <t>상태이상</t>
  </si>
  <si>
    <t>독 상태 적용 및 지속 효과</t>
  </si>
  <si>
    <t>독 상태를 부여하는 생물의 공격에 피격될 수 있는 상태</t>
  </si>
  <si>
    <t>독 공격 / 독 상태 표시 / 상태 지속 구간</t>
  </si>
  <si>
    <t>1) 독 상태를 부여하는 공격을 유도한다.
2) 공격에 피격된 직후 독 상태 표시를 확인한다.
3) 독 상태가 유지되는 동안 HUD와 캐릭터 상태 변화를 관찰한다.
4) 상태 종료 또는 해제 시점까지 진행해 일반 상태로 복귀하는지 확인한다.</t>
  </si>
  <si>
    <t>독 공격 조건을 충족하면 독 상태가 적용되고 지속 효과가 일관되게 처리되어야 한다.</t>
  </si>
  <si>
    <t>DITJ-029</t>
  </si>
  <si>
    <t>대응 입력</t>
  </si>
  <si>
    <t>특정 생물 공격 회피</t>
  </si>
  <si>
    <t>특정 생물의 공격에서 회피 입력 기회가 발생하는 상태</t>
  </si>
  <si>
    <t>회피 입력 안내 / 성공·실패 시 캐릭터 상태</t>
  </si>
  <si>
    <t>1) 회피 대응 입력이 발생하는 특정 생물의 공격을 유도한다.
2) 화면에 안내된 Q 입력을 타이밍에 맞춰 수행한다.
3) 입력 결과와 피격 여부, 이후 조작 복귀 상태를 확인한다.</t>
  </si>
  <si>
    <t>안내된 Q 입력을 성공 타이밍에 수행하면 해당 공격을 회피하고 탐험 조작을 이어갈 수 있어야 한다.</t>
  </si>
  <si>
    <t>DITJ-030</t>
  </si>
  <si>
    <t>포획</t>
  </si>
  <si>
    <t>Q 포획 조건 및 실행</t>
  </si>
  <si>
    <t>Q 포획이 가능한 상태의 생물이 존재하는 상태</t>
  </si>
  <si>
    <t>Q 상호작용 표시 / 포획 대상 1마리</t>
  </si>
  <si>
    <t>1) Q 포획 가능한 대상에게 접근해 Q 입력이 활성화되는지 확인한다.
2) Q 입력을 수행해 포획 처리를 완료한다.
3) 대상이 필드에서 제거되고 포획 결과가 정상 처리되는지 확인한다.</t>
  </si>
  <si>
    <t>Q 포획 조건 충족 시 포획 입력이 활성화되고 대상이 정상 포획되어야 한다.</t>
  </si>
  <si>
    <t>DITJ-031</t>
  </si>
  <si>
    <t>Q 포획 중량 미가산</t>
  </si>
  <si>
    <t>Q 포획 가능한 생물이 있고 포획 전 적재 중량을 확인할 수 있는 상태</t>
  </si>
  <si>
    <t>포획 전 중량 / Q 포획 대상 표시 중량 / 포획 후 중량</t>
  </si>
  <si>
    <t>1) Q 포획 직전 현재 적재 중량을 기록한다.
2) 표시 중량이 있는 대상을 Q 방식으로 포획한다.
3) 포획 직후 적재 중량을 다시 기록한다.
4) 포획 대상 중량이 현재 적재 중량에 가산되지 않았는지 비교한다.</t>
  </si>
  <si>
    <t>Q 포획한 생물의 표시 중량은 현재 적재 중량에 가산되지 않아야 한다.</t>
  </si>
  <si>
    <t>DITJ-032</t>
  </si>
  <si>
    <t>무력화 후 처리 선택</t>
  </si>
  <si>
    <t>생물을 무력화해 Space/Q 처리 선택지가 표시되는 상태</t>
  </si>
  <si>
    <t>무력화 생물 / Space 처리 / Q 처리</t>
  </si>
  <si>
    <t>1) Space/Q 처리가 가능한 대상 생물을 무력화한다.
2) 대상에게 접근한다.
3) 화면에 표시되는 처리 입력을 확인한다.
4) Space와 Q가 각각 선택 가능한 상태로 구분되어 표시되는지 확인한다.</t>
  </si>
  <si>
    <t>무력화된 대상에서 가능한 처리 방식이 구분되어 표시되어야 한다.</t>
  </si>
  <si>
    <t>DITJ-033</t>
  </si>
  <si>
    <t>Space 처리 및 획득</t>
  </si>
  <si>
    <t>무력화된 생물에서 Space 처리 입력이 가능한 상태</t>
  </si>
  <si>
    <t>Space 처리 대상 / 획득 결과</t>
  </si>
  <si>
    <t>1) 무력화 대상에게 접근해 Space 처리를 선택한다.
2) 처리 연출이 완료된 뒤 획득 결과를 확인한다.
3) 처리 직후 적재 중량과 일반 탐험 조작 상태를 확인한다.</t>
  </si>
  <si>
    <t>Space 처리 후 대상의 획득 결과가 표시되고, 처리 종료 후 일반 탐험 조작이 가능해야 한다.</t>
  </si>
  <si>
    <t>DITJ-034</t>
  </si>
  <si>
    <t>일반 처리 중량 가산</t>
  </si>
  <si>
    <t>Space 등 일반 처리 전 적재 중량을 기록할 수 있는 상태</t>
  </si>
  <si>
    <t>처리 전 중량 / 획득 대상 표시 중량 / 처리 후 중량</t>
  </si>
  <si>
    <t>1) Space 처리 전 대상의 표시 중량과 현재 적재 중량을 기록한다.
2) 대상을 Space 방식으로 처리한다.
3) 처리 완료 후 적재 중량을 다시 기록한다.
4) 일반 처리 대상의 중량이 현재 적재 중량에 반영됐는지 비교한다.</t>
  </si>
  <si>
    <t>일반 처리로 획득한 대상은 현재 적재 중량에 반영되어야 한다.</t>
  </si>
  <si>
    <t>DITJ-035</t>
  </si>
  <si>
    <t>귀환 결과</t>
  </si>
  <si>
    <t>탐험 결과 표시</t>
  </si>
  <si>
    <t>담수호에서 1종 이상 획득한 뒤 탐험을 종료한 상태</t>
  </si>
  <si>
    <t>Caught / Obtained / Biggest Fish / 획득 아이템</t>
  </si>
  <si>
    <t>1) 일반 획득과 포획을 포함한 다이빙을 종료한다.
2) 귀환 결과 화면에서 획득 생물·재료와 결과 요약 항목이 표시되는지 확인한다.</t>
  </si>
  <si>
    <t>귀환 결과 화면에서 해당 다이빙의 주요 획득 생물·재료와 결과 요약을 확인할 수 있어야 한다.</t>
  </si>
  <si>
    <t>DITJ-036</t>
  </si>
  <si>
    <t>일반 획득 결과 반영</t>
  </si>
  <si>
    <t>일반 방식으로 생물 또는 재료를 획득한 뒤 귀환할 수 있는 상태</t>
  </si>
  <si>
    <t>일반 획득 대상 / 귀환 결과</t>
  </si>
  <si>
    <t>1) 일반 방식으로 획득한 대상의 이름과 수량을 기록한다.
2) 추가 획득 없이 탐험을 종료한다.
3) 귀환 결과 화면을 연다.
4) 기록한 일반 획득 대상과 수량이 결과에 포함되는지 비교한다.</t>
  </si>
  <si>
    <t>탐험 중 일반 획득한 결과가 귀환 정산에 반영되어야 한다.</t>
  </si>
  <si>
    <t>DITJ-037</t>
  </si>
  <si>
    <t>Q 포획 결과 반영</t>
  </si>
  <si>
    <t>Q 포획으로 생물을 획득한 뒤 귀환할 수 있는 상태</t>
  </si>
  <si>
    <t>Q 포획 대상 / 적재 중량 미가산 상태 / 귀환 결과</t>
  </si>
  <si>
    <t>1) Q 방식으로 포획한 대상의 이름과 수량을 기록한다.
2) Q 포획 후 현재 적재 중량에 가산되지 않았음을 확인한다.
3) 탐험을 종료해 귀환 결과 화면으로 이동한다.
4) Q 포획 대상과 수량이 결과에 포함되는지 확인한다.</t>
  </si>
  <si>
    <t>탐험 중 적재 중량에 가산되지 않은 Q 포획 대상도 귀환 결과에 포함되어야 한다.</t>
  </si>
  <si>
    <t>DITJ-038</t>
  </si>
  <si>
    <t>재료 정산</t>
  </si>
  <si>
    <t>생물→재료 변환 및 수량 정합성</t>
  </si>
  <si>
    <t>포획한 생물이 귀환 후 재료로 정산되는 상태</t>
  </si>
  <si>
    <t>포획 생물·수량 / 정산 후 재료·수량</t>
  </si>
  <si>
    <t>1) 귀환 전 포획 생물의 종류와 수량을 기록한다.
2) 탐험을 종료하고 귀환 정산을 진행한다.
3) 정산 화면에서 해당 생물의 처리 결과를 확인한다.
4) 정산 완료 후 변환된 재료의 종류와 수량을 확인한다.
5) 기록한 포획 수량과 재료 결과 사이에 누락·중복이 없는지 비교한다.</t>
  </si>
  <si>
    <t>포획한 생물이 귀환 후 대응 재료로 변환되고, 기록한 획득 수량과 정산 결과 사이에 누락·중복이 없어야 한다.</t>
  </si>
  <si>
    <t>DITJ-039</t>
  </si>
  <si>
    <t>정산 결과의 그릴 재료 반영</t>
  </si>
  <si>
    <t>귀환 전 반쵸 그릴에서 대상 재료의 보유량을 확인할 수 있는 상태</t>
  </si>
  <si>
    <t>그릴 재료 보유량 전 / 담수호 획득·정산 / 보유량 후</t>
  </si>
  <si>
    <t>1) 반쵸 그릴에서 대상 생물과 연결되는 재료의 현재 보유량을 기록한다.
2) 담수호에 진입해 해당 생물을 정해진 방식으로 획득한다.
3) 획득 직후 대상과 수량을 기록한다.
4) 탐험을 종료하고 귀환 정산 결과를 확인한다.
5) 반쵸 그릴로 이동해 같은 재료의 보유량을 다시 확인한다.
6) 정산 결과가 그릴 재료 데이터에 누락·중복 없이 반영됐는지 비교한다.</t>
  </si>
  <si>
    <t>정산 전·후 보유량 차이가 해당 회차에서 획득·변환된 재료 수량과 일치해야 한다.</t>
  </si>
  <si>
    <t>동일 회차의 획득·정산·그릴 보유량을 한 흐름으로 기록.</t>
  </si>
  <si>
    <t>DITJ-040</t>
  </si>
  <si>
    <t>데이터 지속성</t>
  </si>
  <si>
    <t>재실행 후 정산 결과 유지</t>
  </si>
  <si>
    <t>귀환 정산을 완료하고 반쵸 그릴 재료 보유량을 확인한 상태</t>
  </si>
  <si>
    <t>정산 완료 재료 수량 / 게임 종료 / 재실행</t>
  </si>
  <si>
    <t>1) 귀환 정산 완료 후 대상 재료의 보유량을 기록한다.
2) 저장 가능한 일반 상태로 복귀한다.
3) 게임을 정상 종료한다.
4) 같은 세이브를 다시 불러와 반쵸 그릴의 대상 재료를 조회한다.
5) 종료 전 기록한 수량과 재실행 후 수량을 비교한다.</t>
  </si>
  <si>
    <t>정산 완료된 재료 데이터가 재실행 후에도 유지되어야 한다.</t>
  </si>
  <si>
    <t>DITJ-041</t>
  </si>
  <si>
    <t>메뉴 관리</t>
  </si>
  <si>
    <t>메뉴 등록 및 Today's Menu 반영</t>
  </si>
  <si>
    <t>등록 가능한 레시피와 필요한 재료를 보유한 상태</t>
  </si>
  <si>
    <t>등록 대상 요리 / 판매 수량 / Today's Menu</t>
  </si>
  <si>
    <t>1) 메뉴 관리에서 요리와 판매 수량을 설정한다.
2) 메뉴 등록을 확정한다.
3) Today's Menu에 선택한 요리와 설정 수량이 반영됐는지 확인한다.</t>
  </si>
  <si>
    <t>선택한 요리와 판매 수량이 Today's Menu에 등록되어야 한다.</t>
  </si>
  <si>
    <t>DITJ-042</t>
  </si>
  <si>
    <t>등록 재료 처리 정합성</t>
  </si>
  <si>
    <t>메뉴 등록 전 대상 재료 보유량을 기록할 수 있는 상태</t>
  </si>
  <si>
    <t>등록 전 재료 / 등록 메뉴·수량 / 등록 후 재료 상태</t>
  </si>
  <si>
    <t>1) 메뉴 등록 전 대상 요리의 재료 보유량을 기록한다.
2) 해당 요리의 판매 수량을 설정한다.
3) 메뉴를 등록한다.
4) 등록 후 메뉴 수량과 재료 상태를 다시 확인한다.
5) 등록 수량과 재료 처리 결과가 서로 일치하는지 비교한다.</t>
  </si>
  <si>
    <t>등록한 판매 수량과 등록 전·후 재료 상태 사이에 불일치가 없어야 한다.</t>
  </si>
  <si>
    <t>DITJ-043</t>
  </si>
  <si>
    <t>판매 가능 최대 수량</t>
  </si>
  <si>
    <t>보유 재료로 산출되는 판매 가능 최대 수량을 확인할 수 있는 상태</t>
  </si>
  <si>
    <t>최대 설정 가능 수량 / 최대치 초과 시도</t>
  </si>
  <si>
    <t>1) 대상 요리에 사용할 수 있는 현재 재료 수량을 확인한다.
2) 재료 기준으로 설정 가능한 최대 판매 수량을 확인해 기록한다.
3) 최대 수량으로 메뉴를 설정한다.
4) 최대치를 넘는 수량으로 변경할 수 있는지와 제한 피드백을 확인한다.</t>
  </si>
  <si>
    <t>보유 재료 조건을 초과하는 판매 수량이 유효한 메뉴로 등록되지 않아야 한다.</t>
  </si>
  <si>
    <t>DITJ-044</t>
  </si>
  <si>
    <t>재료 부족 상태</t>
  </si>
  <si>
    <t>대상 요리의 요구 재료가 부족한 상태</t>
  </si>
  <si>
    <t>요구 재료 미충족 레시피</t>
  </si>
  <si>
    <t>1) 요구 재료가 부족한 요리를 선택한다.
2) 부족 상태에서 메뉴 등록을 시도한다.
3) 등록 가능 여부와 부족 재료 안내, 기존 재료/메뉴 상태의 변화를 확인한다.</t>
  </si>
  <si>
    <t>요구 재료가 부족하면 등록이 완료되지 않아야 하며 보유 재료도 차감되지 않아야 한다.</t>
  </si>
  <si>
    <t>DITJ-045</t>
  </si>
  <si>
    <t>요리 연구</t>
  </si>
  <si>
    <t>연구 조건 및 결과 반영</t>
  </si>
  <si>
    <t>연구 가능한 요리와 연구 요구 자원을 보유한 상태</t>
  </si>
  <si>
    <t>연구 대상 / 요구 자원 / 연구 전·후 레시피 상태</t>
  </si>
  <si>
    <t>1) 연구 대상 요리의 현재 상태, 요구 자원, 보유량을 기록한다.
2) 연구 조건을 충족한 상태에서 연구를 실행한다.
3) 연구 완료 후 레시피 상태가 변경됐는지 확인한다.
4) 연구 자원이 화면에 표시된 요구량만큼 처리됐는지 전·후 보유량을 비교한다.</t>
  </si>
  <si>
    <t>연구 조건을 충족하면 대상 레시피가 연구 완료 상태로 변경되고, 요구 자원이 표시된 조건에 맞게 처리되어야 한다.</t>
  </si>
  <si>
    <t>DITJ-046</t>
  </si>
  <si>
    <t>메뉴 강화</t>
  </si>
  <si>
    <t>메뉴 강화 및 결과 반영</t>
  </si>
  <si>
    <t>강화 가능한 메뉴와 필요한 재료를 보유한 상태</t>
  </si>
  <si>
    <t>강화 전 단계·정보 / 요구 재료 / 강화 후 정보</t>
  </si>
  <si>
    <t>1) 강화 전 메뉴의 단계·효과, 요구 재료, 현재 보유량을 기록한다.
2) 메뉴 강화를 실행한다.
3) 강화 후 단계·효과가 변경됐는지 확인한다.
4) 사용된 재료가 화면에 표시된 요구량과 일치하는지 전·후 보유량을 비교한다.</t>
  </si>
  <si>
    <t>강화 후 메뉴 단계·효과가 변경되고, 사용 재료가 표시된 요구량에 맞게 처리되어야 한다.</t>
  </si>
  <si>
    <t>DITJ-047</t>
  </si>
  <si>
    <t>강화 재료 부족</t>
  </si>
  <si>
    <t>메뉴 강화에 필요한 재료가 부족한 상태</t>
  </si>
  <si>
    <t>요구량 미만 강화 재료</t>
  </si>
  <si>
    <t>1) 강화 요구 재료가 부족한 메뉴를 선택한다.
2) 재료 부족 상태에서 강화를 시도한다.
3) 강화 단계가 유지되고 부족 재료가 비정상 차감되지 않았는지 확인한다.</t>
  </si>
  <si>
    <t>재료가 부족하면 강화가 완료되지 않아야 하며 기존 단계가 유지되고 보유 재료도 차감되지 않아야 한다.</t>
  </si>
  <si>
    <t>DITJ-048</t>
  </si>
  <si>
    <t>영업 진행</t>
  </si>
  <si>
    <t>저녁 영업 전환</t>
  </si>
  <si>
    <t>저녁 영업 시작 시간이 도달하는 플레이 상태</t>
  </si>
  <si>
    <t>영업 시작 시간 / 자동 알림 / 영업 전환</t>
  </si>
  <si>
    <t>1) 반쵸 그릴 영업 전 상태에서 현재 시간과 메뉴 상태를 확인한다.
2) 저녁 영업 시작 시점까지 게임을 진행한다.
3) 영업 관련 자동 알림 또는 전환 안내를 확인한다.
4) 안내 이후 실제 영업 상태로 전환되는지 확인한다.</t>
  </si>
  <si>
    <t>영업 시작 시 안내가 발생하고 반쵸 그릴 영업 화면으로 전환되어 주문을 처리할 수 있어야 한다.</t>
  </si>
  <si>
    <t>DITJ-049</t>
  </si>
  <si>
    <t>손님 주문 발생</t>
  </si>
  <si>
    <t>Today's Menu에 메뉴를 등록하고 영업을 시작한 상태</t>
  </si>
  <si>
    <t>등록 메뉴 / 손님 주문 표시</t>
  </si>
  <si>
    <t>1) Today's Menu가 등록된 상태에서 저녁 영업을 시작한다.
2) 손님 입장 후 머리 위에 주문한 메뉴가 식별 가능하게 표시되는지 확인한다.</t>
  </si>
  <si>
    <t>손님이 주문한 메뉴를 식별할 수 있는 주문 표시가 제공되어야 한다.</t>
  </si>
  <si>
    <t>DITJ-050</t>
  </si>
  <si>
    <t>주문 요리 제작</t>
  </si>
  <si>
    <t>처리 가능한 손님 주문이 존재하는 상태</t>
  </si>
  <si>
    <t>주문 메뉴 / 조리 시작 / 완료 상태 표시</t>
  </si>
  <si>
    <t>1) 발생한 주문에 해당하는 요리 제작을 시작한다.
2) 조리 진행 상태를 확인한다.
3) 완료 후 요리가 서빙 가능한 상태로 전환되는지 확인한다.</t>
  </si>
  <si>
    <t>주문에 대응하는 요리가 제작되고 완료 상태가 명확하게 표시되어야 한다.</t>
  </si>
  <si>
    <t>DITJ-051</t>
  </si>
  <si>
    <t>완성 요리 서빙</t>
  </si>
  <si>
    <t>완성된 주문 요리를 가져갈 수 있는 상태</t>
  </si>
  <si>
    <t>완성 요리 / 해당 메뉴 주문 손님</t>
  </si>
  <si>
    <t>1) 완성된 요리를 획득해 해당 메뉴를 주문한 손님에게 이동한다.
2) 요리를 전달한다.
3) 전달 후 주문 상태와 판매 처리 결과가 정상 변경되는지 확인한다.</t>
  </si>
  <si>
    <t>완성 요리가 해당 주문 손님에게 정상 전달되고 주문이 완료 처리되어야 한다.</t>
  </si>
  <si>
    <t>DITJ-052</t>
  </si>
  <si>
    <t>완료 주문 중복 처리 방지</t>
  </si>
  <si>
    <t>손님에게 요리 전달이 완료된 상태</t>
  </si>
  <si>
    <t>이미 완료된 동일 주문 / 추가 서빙 시도</t>
  </si>
  <si>
    <t>1) 정상적으로 서빙을 완료한 주문을 준비한다.
2) 완료된 동일 손님/주문에 다시 서빙 처리를 시도한다.
3) 주문이 중복 완료되거나 재료·판매 결과가 중복 반영되지 않는지 확인한다.</t>
  </si>
  <si>
    <t>이미 완료된 주문이 중복 판매·중복 소비로 다시 처리되지 않아야 한다.</t>
  </si>
  <si>
    <t>DITJ-053</t>
  </si>
  <si>
    <t>영업 결과</t>
  </si>
  <si>
    <t>영업 결과 정산</t>
  </si>
  <si>
    <t>1건 이상 주문을 처리한 뒤 영업이 종료되는 상태</t>
  </si>
  <si>
    <t>영업 중 판매 내역 / 영업 결과 화면</t>
  </si>
  <si>
    <t>1) 영업 시작 전 Today's Menu와 판매 가능한 수량을 기록한다.
2) 영업 중 발생한 주문과 실제 처리 건을 기록한다.
3) 영업 종료까지 진행한다.
4) 영업 결과 화면의 판매·정산 정보를 확인한다.
5) 영업 중 기록한 처리 내역과 종료 결과가 일치하는지 비교한다.</t>
  </si>
  <si>
    <t>영업 중 발생한 판매 결과가 종료 정산에 반영되어야 한다.</t>
  </si>
  <si>
    <t>DITJ-054</t>
  </si>
  <si>
    <t>재실행 후 메뉴·재료 상태</t>
  </si>
  <si>
    <t>메뉴 등록 또는 재료 상태 변경 후 저장 가능한 상태</t>
  </si>
  <si>
    <t>종료 전 메뉴·재료 상태 / 게임 종료 / 재실행</t>
  </si>
  <si>
    <t>1) 게임 종료 전 Today's Menu와 대상 재료 보유량을 기록한다.
2) 저장 가능한 일반 상태로 복귀한다.
3) 게임을 정상 종료한다.
4) 같은 세이브를 다시 불러와 메뉴와 재료 상태를 확인한다.
5) 종료 전 기록값과 재실행 후 상태를 비교한다.</t>
  </si>
  <si>
    <t>저장 대상인 메뉴·재료 데이터가 재실행 후 게임 규칙에 맞게 유지되어야 한다.</t>
  </si>
  <si>
    <t>DITJ-055</t>
  </si>
  <si>
    <t>지역 진입</t>
  </si>
  <si>
    <t>마을 진입 후 조작 상태</t>
  </si>
  <si>
    <t>우타라 마을로 이동 가능한 진행 상태</t>
  </si>
  <si>
    <t>마을 진입 전·후 / 기본 이동</t>
  </si>
  <si>
    <t>1) 우타라 마을로 이동해 지역 전환을 완료한다.
2) 전환 직후 이동과 기본 상호작용을 수행해 필드 조작 상태를 확인한다.</t>
  </si>
  <si>
    <t>우타라 마을 진입 후 이동·상호작용 등 기본 필드 조작이 가능해야 한다.</t>
  </si>
  <si>
    <t>DITJ-056</t>
  </si>
  <si>
    <t>NPC 상호작용</t>
  </si>
  <si>
    <t>일반 주민 대화</t>
  </si>
  <si>
    <t>대화 가능한 일반 주민 NPC에 접근할 수 있는 상태</t>
  </si>
  <si>
    <t>일반 주민 NPC / 대화 시작·종료</t>
  </si>
  <si>
    <t>1) 주민 NPC와 상호작용해 대화를 시작한다.
2) 대화를 진행한다.
3) 종료 후 필드 조작 상태를 확인한다.</t>
  </si>
  <si>
    <t>주민 대화가 정상 진행되고 종료 후 일반 마을 조작 상태로 복귀해야 한다.</t>
  </si>
  <si>
    <t>DITJ-057</t>
  </si>
  <si>
    <t>하우징</t>
  </si>
  <si>
    <t>가구 구매 및 보유 반영</t>
  </si>
  <si>
    <t>가구 판매 NPC를 통해 구매 화면을 열 수 있고 구매 재화를 보유한 상태</t>
  </si>
  <si>
    <t>구매 대상 가구 / 구매 전·후 재화 / 보유 가구</t>
  </si>
  <si>
    <t>1) 구매할 가구의 가격과 현재 재화를 확인한 뒤 구매한다.
2) 구매 직후 재화 변화를 확인한다.
3) 보유 가구 목록에 구매한 가구가 추가됐는지 확인한다.</t>
  </si>
  <si>
    <t>구매 비용이 정상 처리되고 구매한 가구가 배치 가능한 보유 상태로 반영되어야 한다.</t>
  </si>
  <si>
    <t>DITJ-058</t>
  </si>
  <si>
    <t>가구 구매 재화 부족</t>
  </si>
  <si>
    <t>가구 구매에 필요한 재화가 부족한 상태</t>
  </si>
  <si>
    <t>가격 &gt; 보유 재화인 가구</t>
  </si>
  <si>
    <t>1) 현재 보유 재화보다 가격이 높은 가구를 선택한다.
2) 구매를 시도한다.
3) 구매 불가 처리와 재화·보유 가구 상태가 유지되는지 확인한다.</t>
  </si>
  <si>
    <t>재화가 부족하면 구매가 완료되지 않아야 하며 보유 재화도 차감되지 않아야 한다.</t>
  </si>
  <si>
    <t>DITJ-059</t>
  </si>
  <si>
    <t>가구 배치</t>
  </si>
  <si>
    <t>구매한 가구를 배치할 수 있는 하우징 편집 상태</t>
  </si>
  <si>
    <t>배치 가능한 그리드 / 구매 가구</t>
  </si>
  <si>
    <t>1) 하우징 배치 모드에서 보유 가구를 선택한다.
2) 배치 가능한 빈 위치로 이동해 배치를 확정한다.
3) 확정 후 가구 위치와 필드 상태가 정상 반영됐는지 확인한다.</t>
  </si>
  <si>
    <t>배치 가능한 위치에서는 가구가 지정한 위치에 정상 배치되어야 한다.</t>
  </si>
  <si>
    <t>DITJ-060</t>
  </si>
  <si>
    <t>가구 중첩 위치 처리</t>
  </si>
  <si>
    <t>하우징 편집 상태에서 기존 가구와 새 가구를 동시에 배치할 수 있는 상태</t>
  </si>
  <si>
    <t>기존 가구가 점유한 위치 / 새 가구</t>
  </si>
  <si>
    <t>1) 기존 가구가 배치된 위치를 확인한다.
2) 새 가구를 기존 가구와 겹치도록 이동한다.
3) 중첩 위치에서 배치를 시도한다.
4) 중첩 배치 제한 또는 허용 상태가 UI와 실제 배치 결과에서 일치하는지 확인한다.</t>
  </si>
  <si>
    <t>가구 중첩이 허용되지 않는 위치에서는 비정상 겹침 배치가 확정되지 않아야 한다.</t>
  </si>
  <si>
    <t>DITJ-061</t>
  </si>
  <si>
    <t>배치 불가 영역 처리</t>
  </si>
  <si>
    <t>하우징 편집 상태에서 배치 가능·불가 영역을 구분할 수 있는 상태</t>
  </si>
  <si>
    <t>배치 불가 그리드 또는 영역 / 새 가구</t>
  </si>
  <si>
    <t>1) 하우징에서 배치 가능한 영역과 경계를 확인한다.
2) 가구를 배치 불가 영역 또는 경계 밖으로 이동한다.
3) 해당 위치에서 배치를 시도한다.
4) 배치 제한 피드백과 최종 가구 위치를 확인한다.</t>
  </si>
  <si>
    <t>배치 불가 영역에서는 가구 배치가 확정되지 않아야 하며 배치 가능 여부가 구분되어야 한다.</t>
  </si>
  <si>
    <t>DITJ-062</t>
  </si>
  <si>
    <t>재진입 후 배치 유지</t>
  </si>
  <si>
    <t>가구 배치를 확정한 상태</t>
  </si>
  <si>
    <t>배치 위치 / 지역 이탈 또는 게임 재실행 / 재진입</t>
  </si>
  <si>
    <t>1) 가구를 특정 위치에 배치하고 위치를 확인한다.
2) 하우징을 벗어나 저장 가능한 상태로 이동한다.
3) 지역을 재진입하거나 게임을 정상 재실행한다.
4) 하우징에 다시 진입한다.
5) 가구의 위치·방향 등 배치 상태가 종료 전과 동일한지 비교한다.</t>
  </si>
  <si>
    <t>확정한 가구 배치 상태가 재진입 후에도 유지되어야 한다.</t>
  </si>
  <si>
    <t>DITJ-063</t>
  </si>
  <si>
    <t>낚시</t>
  </si>
  <si>
    <t>낚시 진행</t>
  </si>
  <si>
    <t>낚시 가능한 지점에서 낚시를 시작할 수 있는 상태</t>
  </si>
  <si>
    <t>캐스팅 / 입질 / 대응 조작 / 낚아 올리기</t>
  </si>
  <si>
    <t>1) 낚시를 시작해 캐스팅한다.
2) 입질이 발생할 때까지 기다린다.
3) 안내되는 조작을 수행해 낚시를 진행한다.
4) 포획 성공 여부를 확인한다.</t>
  </si>
  <si>
    <t>캐스팅 후 입질이 발생하고 안내 입력을 수행하면 낚아 올리기 결과까지 진행되어야 한다.</t>
  </si>
  <si>
    <t>DITJ-064</t>
  </si>
  <si>
    <t>낚시 획득 결과 반영</t>
  </si>
  <si>
    <t>낚시를 성공할 수 있는 상태</t>
  </si>
  <si>
    <t>낚시 성공 대상 / 성공 전·후 보유 상태</t>
  </si>
  <si>
    <t>1) 낚시에 성공한 직후 획득한 대상과 수량을 확인한다.
2) 관련 인벤토리/보유 데이터에서 해당 획득 결과가 반영됐는지 확인한다.</t>
  </si>
  <si>
    <t>낚시에 성공한 대상의 획득 결과가 게임 내 보유 상태에 반영되어야 한다.</t>
  </si>
  <si>
    <t>DITJ-065</t>
  </si>
  <si>
    <t>꼬치 제작</t>
  </si>
  <si>
    <t>재료 선택 및 제작 시작</t>
  </si>
  <si>
    <t>꼬치 제작 화면을 열 수 있고 제작 가능한 재료를 보유한 상태</t>
  </si>
  <si>
    <t>제작 재료 / 제작 비용 / Cooking Time</t>
  </si>
  <si>
    <t>1) 꼬치 제작 화면에서 사용할 재료를 선택한다.
2) 표시되는 비용과 Cooking Time을 확인한 뒤 제작을 시작한다.
3) 제작 진행 상태가 생성되는지 확인한다.</t>
  </si>
  <si>
    <t>제작 조건 충족 시 선택한 재료로 꼬치 제작이 시작되고 제작 시간이 표시되어야 한다.</t>
  </si>
  <si>
    <t>DITJ-066</t>
  </si>
  <si>
    <t>제작 진행 및 완료</t>
  </si>
  <si>
    <t>꼬치 제작을 시작한 상태</t>
  </si>
  <si>
    <t>제작 진행도 / 완료 상태 / 결과 아이템</t>
  </si>
  <si>
    <t>1) 제작 중인 꼬치의 진행 상태와 남은 시간을 확인한다.
2) 제작 완료 시점까지 진행한다.
3) 완료 상태와 제작 결과가 획득/사용 가능한 상태로 반영됐는지 확인한다.</t>
  </si>
  <si>
    <t>제작 진행도가 시간 경과에 따라 갱신되고 완료 시 결과물이 획득 가능한 상태로 전환되어야 한다.</t>
  </si>
  <si>
    <t>DITJ-067</t>
  </si>
  <si>
    <t>마을 성장</t>
  </si>
  <si>
    <t>등급 상승 조건 및 랭크업</t>
  </si>
  <si>
    <t>마을 랭크업 요구조건을 모두 충족하고 랭크 업 기능을 실행할 수 있는 상태</t>
  </si>
  <si>
    <t>인기도·방문 손님 조건 충족 상태 / 랭크업 전·후 등급</t>
  </si>
  <si>
    <t>1) 현재 마을 등급과 랭크업 요구조건을 확인한다.
2) 요구조건이 충족된 상태에서 랭크 업을 실행한다.
3) 등급 상승 연출/처리를 완료한다.
4) 상승 후 마을 등급과 관련 해금·상태 정보가 변경됐는지 확인한다.</t>
  </si>
  <si>
    <t>요구조건을 모두 충족한 경우 마을 등급이 상승하고 관련 상태가 새 등급에 맞게 갱신되어야 한다.</t>
  </si>
  <si>
    <t>랭크업 전·후 마을 등급과 관련 해금·상태 정보 변경을 확인.</t>
  </si>
  <si>
    <t>DITJ-068</t>
  </si>
  <si>
    <t>장비 정보</t>
  </si>
  <si>
    <t>현재 장비 정보 조회</t>
  </si>
  <si>
    <t>iDiver 장비 화면을 열 수 있는 상태</t>
  </si>
  <si>
    <t>현재 장비 / 장비 레벨 / 상세 정보</t>
  </si>
  <si>
    <t>1) iDiver 장비 화면을 연다.
2) 현재 장비와 선택 장비의 단계·성능 등 상세 정보가 구분되어 표시되는지 확인한다.</t>
  </si>
  <si>
    <t>현재 장비의 레벨과 관련 정보가 확인 가능해야 한다.</t>
  </si>
  <si>
    <t>DITJ-069</t>
  </si>
  <si>
    <t>도구 강화</t>
  </si>
  <si>
    <t>강화 조건 충족 및 실행</t>
  </si>
  <si>
    <t>강화 가능한 도구와 요구 재료·비용을 보유한 상태</t>
  </si>
  <si>
    <t>도구 강화 전 단계 / 요구 재료 / 비용</t>
  </si>
  <si>
    <t>1) 강화할 도구의 현재 단계와 요구 재료/비용을 확인한다.
2) 조건 충족 상태에서 도구 강화를 실행한다.
3) 강화 완료 후 대상 도구가 다음 단계로 변경됐는지 확인한다.</t>
  </si>
  <si>
    <t>요구조건을 충족한 상태에서 강화를 실행하면 대상 도구가 다음 단계로 변경되어야 한다.</t>
  </si>
  <si>
    <t>DITJ-070</t>
  </si>
  <si>
    <t>강화 재료 소비</t>
  </si>
  <si>
    <t>도구 강화를 실행할 수 있고 강화 전 재료 수량을 기록한 상태</t>
  </si>
  <si>
    <t>강화 전·후 재료 / 비용</t>
  </si>
  <si>
    <t>1) 도구 강화 직전 요구 재료와 비용의 현재 수량을 기록한다.
2) 강화를 실행한다.
3) 강화 직후 동일 재료와 비용을 다시 확인한다.
4) 표시된 요구량만큼 정상 차감됐는지 비교한다.</t>
  </si>
  <si>
    <t>강화에 사용된 재료와 비용이 요구량에 맞게 처리되어야 한다.</t>
  </si>
  <si>
    <t>DITJ-071</t>
  </si>
  <si>
    <t>강화 결과 정보 반영</t>
  </si>
  <si>
    <t>도구 강화를 완료할 수 있는 상태</t>
  </si>
  <si>
    <t>강화 전·후 도구 단계와 성능 정보</t>
  </si>
  <si>
    <t>1) 강화 전 도구의 단계와 표시 성능을 기록한다.
2) 도구 강화를 완료한다.
3) 강화 후 동일 정보 항목을 다시 확인한다.
4) 단계와 성능 정보가 강화 결과에 맞게 변경됐는지 비교한다.</t>
  </si>
  <si>
    <t>강화 완료 후 도구 단계와 표시 성능이 강화 결과에 맞게 변경되어야 한다.</t>
  </si>
  <si>
    <t>DITJ-072</t>
  </si>
  <si>
    <t>강화 요구 재료를 충족하지 못한 상태</t>
  </si>
  <si>
    <t>보유량 &lt; 요구량인 강화 재료</t>
  </si>
  <si>
    <t>1) 강화 요구 재료가 부족한 도구를 선택한다.
2) 부족한 재료와 현재 보유량을 확인한다.
3) 강화를 시도한다.
4) 강화 단계와 보유 재료가 비정상 변경되지 않았는지 확인한다.</t>
  </si>
  <si>
    <t>재료가 부족하면 강화가 완료되지 않아야 하며 도구 단계가 유지되고 보유 재료도 차감되지 않아야 한다.</t>
  </si>
  <si>
    <t>DITJ-073</t>
  </si>
  <si>
    <t>정글건 개조</t>
  </si>
  <si>
    <t>업그레이드 트리 정보</t>
  </si>
  <si>
    <t>정글건 업그레이드 화면을 열 수 있는 상태</t>
  </si>
  <si>
    <t>현재 노드 / 다음 노드 / 요구 재료 / 성능 정보</t>
  </si>
  <si>
    <t>1) 정글건 개조 화면을 연다.
2) 현재 활성 노드, 연결된 다음 노드, 요구 재료와 성능 정보를 확인한다.</t>
  </si>
  <si>
    <t>현재 활성 노드와 다음 개조 노드의 요구 재료·성능 정보를 화면에서 구분해 확인할 수 있어야 한다.</t>
  </si>
  <si>
    <t>DITJ-074</t>
  </si>
  <si>
    <t>선행 조건 미충족</t>
  </si>
  <si>
    <t>선행 노드가 아직 활성화되지 않은 업그레이드 항목이 있는 상태</t>
  </si>
  <si>
    <t>잠금된 후속 노드</t>
  </si>
  <si>
    <t>1) 선행 노드가 충족되지 않은 후속 개조 노드를 선택한다.
2) 현재 잠금/선행 조건 안내를 확인한다.
3) 업그레이드를 시도한다.
4) 후속 노드가 비정상 활성화되지 않고 기존 재료가 유지되는지 확인한다.</t>
  </si>
  <si>
    <t>선행 조건을 충족하지 않은 후속 노드는 업그레이드 완료 상태로 처리되지 않아야 한다.</t>
  </si>
  <si>
    <t>DITJ-075</t>
  </si>
  <si>
    <t>요구 재료 부족</t>
  </si>
  <si>
    <t>업그레이드 경로는 열려 있으나 요구 재료가 부족한 상태</t>
  </si>
  <si>
    <t>선행 조건 충족 / 요구 재료 미충족 노드</t>
  </si>
  <si>
    <t>1) 선행 조건은 충족했지만 요구 재료가 부족한 노드를 선택한다.
2) 부족 재료와 현재 보유량을 확인한다.
3) 업그레이드를 시도한다.
4) 노드 상태와 보유 재료가 변경되지 않았는지 확인한다.</t>
  </si>
  <si>
    <t>요구 재료가 부족하면 업그레이드가 완료되지 않고 기존 노드 상태가 유지되어야 한다.</t>
  </si>
  <si>
    <t>DITJ-076</t>
  </si>
  <si>
    <t>업그레이드 실행 및 재료 소비</t>
  </si>
  <si>
    <t>선행 조건과 요구 재료를 모두 충족한 업그레이드 노드가 있는 상태</t>
  </si>
  <si>
    <t>업그레이드 전 재료 / 비용 / 대상 노드</t>
  </si>
  <si>
    <t>1) 업그레이드 전 대상 노드와 요구 재료/비용을 기록한다.
2) 업그레이드를 실행한다.
3) 완료 후 노드 활성 상태를 확인한다.
4) 재료와 비용의 잔여 수량을 확인한다.
5) 요구량과 실제 차감량이 일치하는지 비교한다.</t>
  </si>
  <si>
    <t>업그레이드가 완료되고 요구 재료와 비용이 소비되어야 한다.</t>
  </si>
  <si>
    <t>DITJ-077</t>
  </si>
  <si>
    <t>업그레이드 결과 반영</t>
  </si>
  <si>
    <t>정글건 업그레이드를 완료할 수 있는 상태</t>
  </si>
  <si>
    <t>업그레이드 전·후 공격력·사거리·탄 수 등 표시 정보</t>
  </si>
  <si>
    <t>1) 업그레이드 전 공격력·사거리·탄 수 등 대상 노드의 성능 정보를 기록한다.
2) 업그레이드를 완료한다.
3) 동일한 성능 정보 항목을 다시 확인한다.
4) 활성화한 노드 효과가 표시 정보에 반영됐는지 비교한다.</t>
  </si>
  <si>
    <t>업그레이드 후 활성 노드와 공격력·사거리·탄 수 등 해당 노드의 성능 정보가 변경되어야 한다.</t>
  </si>
  <si>
    <t>DITJ-078</t>
  </si>
  <si>
    <t>성장 지속성</t>
  </si>
  <si>
    <t>재실행 후 성장 상태 유지</t>
  </si>
  <si>
    <t>도구 강화 또는 정글건 업그레이드를 완료하고 저장 가능한 상태</t>
  </si>
  <si>
    <t>강화·개조 완료 상태 / 게임 종료 / 재실행</t>
  </si>
  <si>
    <t>1) 종료 전 도구 단계와 정글건 활성 노드를 기록한다.
2) 저장 가능한 일반 상태로 복귀한다.
3) 게임을 정상 종료한다.
4) 같은 세이브를 다시 불러와 도구·정글건 성장 화면을 연다.
5) 종료 전 기록한 성장 상태가 동일하게 유지되는지 비교한다.</t>
  </si>
  <si>
    <t>저장된 강화 및 개조 상태가 재실행 후에도 유지되어야 한다.</t>
  </si>
  <si>
    <t>DITJ-079</t>
  </si>
  <si>
    <t>전투 진입</t>
  </si>
  <si>
    <t>선제 상호작용 진입</t>
  </si>
  <si>
    <t>세타 숲 필드에서 전투 가능한 몬스터에게 먼저 상호작용할 수 있는 상태</t>
  </si>
  <si>
    <t>플레이어 선제 상호작용 / 전투 시작 시 적 HP</t>
  </si>
  <si>
    <t>1) 필드에서 전투 중이 아닌 몬스터에게 먼저 접근한다.
2) 선제 상호작용을 실행한다.
3) 턴제 전투 화면으로 전환된 직후 적 HP를 확인한다.
4) 선제 상호작용에 따른 기본 피해가 초기 HP에 반영됐는지 확인한다.</t>
  </si>
  <si>
    <t>플레이어가 먼저 상호작용해 전투를 시작하면 전투 시작 시 적 HP에 선제 공격 피해가 반영되어야 한다.</t>
  </si>
  <si>
    <t>DITJ-080</t>
  </si>
  <si>
    <t>적 피격 진입</t>
  </si>
  <si>
    <t>세타 숲 필드에서 몬스터의 공격에 먼저 피격될 수 있는 상태</t>
  </si>
  <si>
    <t>적 선제 피격 / 전투 시작 상태</t>
  </si>
  <si>
    <t>1) 필드에서 몬스터의 공격 범위에 진입한다.
2) 먼저 상호작용하지 않은 상태에서 적에게 피격된다.
3) 턴제 전투로 전환된 직후 아군·적의 초기 상태를 확인한다.</t>
  </si>
  <si>
    <t>적의 공격으로 전투가 시작되면 플레이어 선제 공격 피해가 적용되지 않은 초기 상태로 전환되어야 한다.</t>
  </si>
  <si>
    <t>DITJ-081</t>
  </si>
  <si>
    <t>턴 진행</t>
  </si>
  <si>
    <t>아군·적 턴 순환</t>
  </si>
  <si>
    <t>세타 숲 턴제 전투에 진입한 상태</t>
  </si>
  <si>
    <t>아군 캐릭터 행동 / 적 턴 / 다음 아군 턴</t>
  </si>
  <si>
    <t>1) 아군 턴에서 현재 행동 가능한 캐릭터와 상태를 확인한다.
2) 아군 캐릭터들의 행동을 진행해 턴을 종료한다.
3) 적 턴으로 전환되어 적 행동이 수행되는지 확인한다.
4) 적 행동 종료 후 다음 아군 턴으로 정상 복귀하는지 확인한다.</t>
  </si>
  <si>
    <t>아군 행동이 종료되면 적 턴으로 전환되고 적 행동 후 다음 아군 턴으로 정상 순환되어야 한다.</t>
  </si>
  <si>
    <t>DITJ-082</t>
  </si>
  <si>
    <t>전투 행동</t>
  </si>
  <si>
    <t>일반 공격</t>
  </si>
  <si>
    <t>아군 캐릭터가 행동 가능한 자신의 턴</t>
  </si>
  <si>
    <t>공격 대상 / 일반 공격</t>
  </si>
  <si>
    <t>1) 아군 턴에서 일반 공격을 선택한다.
2) 공격할 적 대상을 지정한다.
3) 공격 실행 후 대상 HP와 전투 상태 변화를 확인한다.</t>
  </si>
  <si>
    <t>일반 공격이 대상에게 적용되고 해당 캐릭터의 행동이 처리되어야 한다.</t>
  </si>
  <si>
    <t>DITJ-083</t>
  </si>
  <si>
    <t>방어</t>
  </si>
  <si>
    <t>방어 행동을 선택할 수 있는 아군 턴</t>
  </si>
  <si>
    <t>방어 선택 / 이후 적 공격</t>
  </si>
  <si>
    <t>1) 아군 턴에서 방어를 선택하고 턴을 진행한다.
2) 해당 캐릭터가 적 공격을 받게 한다.
3) 방어 선택에 따른 피격 결과와 전투 상태를 확인한다.</t>
  </si>
  <si>
    <t>방어를 선택한 캐릭터가 방어 상태로 처리되고, 다음 적 공격 처리에 해당 상태가 반영되어야 한다.</t>
  </si>
  <si>
    <t>DITJ-084</t>
  </si>
  <si>
    <t>스킬 사용 후 AP 소비</t>
  </si>
  <si>
    <t>사용 가능한 스킬과 충분한 AP를 보유한 아군 턴</t>
  </si>
  <si>
    <t>스킬 요구 AP / 사용 전 AP / 사용 후 AP</t>
  </si>
  <si>
    <t>1) 현재 AP와 사용할 스킬의 요구 AP를 기록한다.
2) AP가 충분한 상태에서 스킬을 사용한다.
3) 스킬 처리 완료 후 현재 AP를 다시 확인한다.
4) 사용 전·후 AP 차이가 스킬 요구량과 일치하는지 비교한다.</t>
  </si>
  <si>
    <t>스킬 사용 시 표시된 요구량만큼 AP가 소비되어야 한다.</t>
  </si>
  <si>
    <t>DITJ-085</t>
  </si>
  <si>
    <t>요구량과 동일한 AP</t>
  </si>
  <si>
    <t>현재 AP를 사용하려는 스킬의 요구량과 동일하게 맞출 수 있는 상태</t>
  </si>
  <si>
    <t>현재 AP = 스킬 요구 AP</t>
  </si>
  <si>
    <t>1) 사용할 스킬의 요구 AP를 확인한다.
2) 현재 AP를 요구량과 동일한 값으로 만든다.
3) 해당 스킬을 사용한다.
4) 스킬 발동 여부와 사용 후 AP 상태를 확인한다.</t>
  </si>
  <si>
    <t>현재 AP가 요구량과 동일하면 스킬을 사용할 수 있고 사용 후 AP가 처리되어야 한다.</t>
  </si>
  <si>
    <t>DITJ-086</t>
  </si>
  <si>
    <t>요구량 미만 AP</t>
  </si>
  <si>
    <t>현재 AP가 사용하려는 스킬 요구량보다 부족한 상태</t>
  </si>
  <si>
    <t>현재 AP &lt; 스킬 요구 AP</t>
  </si>
  <si>
    <t>1) 사용할 스킬의 요구 AP를 확인한다.
2) 현재 AP를 요구량보다 낮은 상태로 만든다.
3) 해당 스킬 사용을 시도한다.
4) 사용 제한 피드백과 AP·턴 상태가 비정상 변경되지 않는지 확인한다.</t>
  </si>
  <si>
    <t>AP가 요구량보다 부족하면 스킬이 정상 사용 완료 상태로 처리되지 않아야 한다.</t>
  </si>
  <si>
    <t>DITJ-087</t>
  </si>
  <si>
    <t>스킬</t>
  </si>
  <si>
    <t>타이밍 입력 성공</t>
  </si>
  <si>
    <t>타이밍 입력을 요구하는 스킬을 사용할 수 있는 상태</t>
  </si>
  <si>
    <t>타이밍 입력형 스킬 / 성공 입력</t>
  </si>
  <si>
    <t>1) 타이밍 입력형 스킬을 사용해 입력 구간을 확인한다.
2) 성공 구간에 맞춰 안내된 입력을 수행한다.
3) 성공 피드백과 스킬 결과를 확인한다.</t>
  </si>
  <si>
    <t>타이밍 입력 성공 시 해당 스킬의 성공 결과가 적용되어야 한다.</t>
  </si>
  <si>
    <t>DITJ-088</t>
  </si>
  <si>
    <t>타이밍 입력 실패</t>
  </si>
  <si>
    <t>타이밍 입력형 스킬 / 실패 입력</t>
  </si>
  <si>
    <t>1) 타이밍 입력형 스킬을 선택한다.
2) 입력 성공 구간을 확인한다.
3) 성공 타이밍을 벗어나 입력한다.
4) 실패 피드백과 스킬 결과가 성공 입력과 구분되어 처리되는지 확인한다.</t>
  </si>
  <si>
    <t>타이밍 입력 실패 시 성공 입력과 구분되는 실패 결과가 일관되게 처리되어야 한다.</t>
  </si>
  <si>
    <t>DITJ-089</t>
  </si>
  <si>
    <t>즉시 발동형 스킬</t>
  </si>
  <si>
    <t>별도 타이밍 입력 없이 즉시 발동되는 스킬을 사용할 수 있는 상태</t>
  </si>
  <si>
    <t>즉시 발동형 스킬 / 충분한 AP</t>
  </si>
  <si>
    <t>1) 즉시 발동형 스킬을 선택한다.
2) 스킬을 실행한다.
3) 별도 타이밍 입력을 요구하지 않고 효과가 처리되는지 확인한다.</t>
  </si>
  <si>
    <t>즉시 발동형 스킬은 별도 타이밍 입력 없이 정상 발동되어야 한다.</t>
  </si>
  <si>
    <t>DITJ-090</t>
  </si>
  <si>
    <t>HP/상태</t>
  </si>
  <si>
    <t>피격 후 HP 변화</t>
  </si>
  <si>
    <t>적의 공격을 받을 수 있는 전투 상태</t>
  </si>
  <si>
    <t>피격 전 HP / 적 공격 / 피격 후 HP</t>
  </si>
  <si>
    <t>1) 피격 전 대상 캐릭터의 현재 HP를 기록한다.
2) 적의 공격을 받아 피격한다.
3) 피격 후 HP를 다시 확인한다.
4) 전투 화면의 피해 표시와 HP 변화가 서로 일치하는지 확인한다.</t>
  </si>
  <si>
    <t>적 공격에 따른 피해가 대상 캐릭터의 HP 변화와 화면 피해 표시에서 서로 일치해야 한다.</t>
  </si>
  <si>
    <t>DITJ-091</t>
  </si>
  <si>
    <t>전투 도구</t>
  </si>
  <si>
    <t>HP·AP 회복 도구 사용</t>
  </si>
  <si>
    <t>HP 또는 AP가 감소했고 회복 도구를 보유한 아군 턴</t>
  </si>
  <si>
    <t>구운 참새 고기 등 HP/AP 회복 도구 / 사용 전·후 수치</t>
  </si>
  <si>
    <t>1) HP 또는 AP가 최대치보다 낮은 캐릭터를 준비하고 현재 값을 기록한다.
2) HP·AP 회복 효과가 있는 도구를 선택한다.
3) 도구를 사용한다.
4) 사용 후 HP·AP 변화와 아이템 보유 수량 감소를 확인한다.</t>
  </si>
  <si>
    <t>도구에 표시된 회복 효과가 적용되고 사용한 아이템 수량이 정상 감소해야 한다.</t>
  </si>
  <si>
    <t>DITJ-092</t>
  </si>
  <si>
    <t>상태이상 해제 도구 사용</t>
  </si>
  <si>
    <t>해제 가능한 상태이상이 적용됐고 대응 도구를 보유한 상태</t>
  </si>
  <si>
    <t>상태이상 / 해독초 등 대응 도구</t>
  </si>
  <si>
    <t>1) 해제 가능한 상태이상이 적용된 캐릭터를 준비한다.
2) 현재 상태이상 표시와 대응 도구 보유량을 기록한다.
3) 상태이상 해제 도구를 사용한다.
4) 상태 표시 해제와 아이템 수량 감소를 확인한다.</t>
  </si>
  <si>
    <t>대응 가능한 상태이상에 도구를 사용하면 상태가 해제되고 사용한 아이템 수량이 정상 감소해야 한다.</t>
  </si>
  <si>
    <t>DITJ-093</t>
  </si>
  <si>
    <t>일반 전투 도망 시도</t>
  </si>
  <si>
    <t>도망가기를 선택할 수 있는 일반 몬스터 전투</t>
  </si>
  <si>
    <t>도망가기 / 성공 또는 실패 판정</t>
  </si>
  <si>
    <t>1) 일반 전투의 아군 턴에서 도망가기를 선택한다.
2) 도망 성공 또는 실패 판정이 표시되는지 확인한다.
3) 성공한 경우 전투가 종료되고 필드로 복귀하는지 확인한다.
4) 실패한 경우 전투가 종료되지 않고 다음 전투 상태로 이어지는지 확인한다.</t>
  </si>
  <si>
    <t>도망가기는 성공/실패 판정에 따라 성공 시 전투가 종료되고 실패 시 현재 전투가 계속되어야 한다.</t>
  </si>
  <si>
    <t>성공 확률 수치 자체는 측정 대상에서 제외.</t>
  </si>
  <si>
    <t>DITJ-094</t>
  </si>
  <si>
    <t>보스전 도망 실패 처리</t>
  </si>
  <si>
    <t>도망가기 메뉴가 제공되는 재현 가능한 보스 전투</t>
  </si>
  <si>
    <t>보스 전투 / 도망가기</t>
  </si>
  <si>
    <t>1) 보스 전투의 아군 턴에서 도망가기 메뉴가 제공되는지 확인한다.
2) 도망가기를 선택한다.
3) 도망 실패로 처리되고 전투가 종료되지 않은 채 계속 진행되는지 확인한다.</t>
  </si>
  <si>
    <t>보스전에서 도망가기를 선택하면 도망 실패로 처리되고, 전투가 종료되지 않은 채 현재 전투가 계속되어야 한다.</t>
  </si>
  <si>
    <t>현재 확인 범위에서는 보스전 도망 성공 사례가 없으며 실패 처리만 확인.</t>
  </si>
  <si>
    <t>DITJ-095</t>
  </si>
  <si>
    <t>전투 결과</t>
  </si>
  <si>
    <t>적 처치 후 전투 종료 및 필드 복귀</t>
  </si>
  <si>
    <t>마지막 적을 처치할 수 있는 전투 상태</t>
  </si>
  <si>
    <t>적 전멸 / 전투 결과 / 필드 복귀</t>
  </si>
  <si>
    <t>1) 마지막 적을 처치하기 직전 전투 상태를 확인한다.
2) 마지막 적을 처치한다.
3) 전투 종료 결과 처리가 완료되는지 확인한다.
4) 필드 화면으로 복귀한 뒤 이동·상호작용 등 기본 조작을 수행한다.</t>
  </si>
  <si>
    <t>마지막 적 처치 후 전투가 종료되고 결과 처리 뒤 세타 숲 필드로 돌아와 이동·상호작용이 가능해야 한다.</t>
  </si>
  <si>
    <t>DITJ-096</t>
  </si>
  <si>
    <t>성장</t>
  </si>
  <si>
    <t>전투 경험치 및 레벨 상승</t>
  </si>
  <si>
    <t>전투 승리로 경험치를 획득하고 레벨업 가능 구간에 도달할 수 있는 상태</t>
  </si>
  <si>
    <t>전투 전 경험치·레벨 / 획득 경험치 / 전투 후 경험치·레벨</t>
  </si>
  <si>
    <t>1) 전투 전 캐릭터의 레벨과 현재 경험치를 기록한다.
2) 경험치를 획득할 수 있는 전투에서 승리한다.
3) 전투 결과에서 경험치 획득량을 확인한다.
4) 결과 반영 후 레벨과 경험치가 정상 갱신됐는지 확인한다.</t>
  </si>
  <si>
    <t>전투 결과에 따른 경험치가 반영되고 레벨업 조건을 충족하면 캐릭터 레벨이 상승해야 한다.</t>
  </si>
  <si>
    <t>DITJ-097</t>
  </si>
  <si>
    <t>능력치 투자 및 결과 반영</t>
  </si>
  <si>
    <t>레벨업 후 투자 가능한 성장 포인트가 있는 상태</t>
  </si>
  <si>
    <t>성장 포인트 / 투자 전·후 능력치</t>
  </si>
  <si>
    <t>1) 투자 전 성장 포인트와 대상 능력치 값을 기록한다.
2) 투자할 능력치를 선택한다.
3) 성장 포인트를 사용해 능력치 투자를 확정한다.
4) 투자 후 남은 포인트와 대상 능력치 값을 비교한다.</t>
  </si>
  <si>
    <t>투자한 성장 포인트가 정상 차감되고 선택한 능력치에 성장 결과가 반영되어야 한다.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</si>
</sst>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4">
    <font>
      <sz val="10.0"/>
      <color rgb="FF000000"/>
      <name val="Carlito"/>
      <scheme val="minor"/>
    </font>
    <font>
      <b/>
      <sz val="18.0"/>
      <color rgb="FFFFFFFF"/>
      <name val="Malgun Gothic"/>
    </font>
    <font>
      <b/>
      <sz val="10.0"/>
      <color rgb="FFD8EFEA"/>
      <name val="Malgun Gothic"/>
    </font>
    <font>
      <sz val="10.0"/>
      <color rgb="FF233638"/>
      <name val="Malgun Gothic"/>
    </font>
    <font>
      <b/>
      <sz val="16.0"/>
      <color rgb="FFFFFFFF"/>
      <name val="Malgun Gothic"/>
    </font>
    <font>
      <b/>
      <sz val="10.0"/>
      <color rgb="FFCFF7F4"/>
      <name val="Malgun Gothic"/>
    </font>
    <font/>
    <font>
      <sz val="11.0"/>
      <color theme="1"/>
      <name val="Carlito"/>
    </font>
    <font>
      <b/>
      <sz val="10.0"/>
      <color rgb="FF233638"/>
      <name val="Malgun Gothic"/>
    </font>
    <font>
      <b/>
      <sz val="10.0"/>
      <color rgb="FF0B5361"/>
      <name val="Malgun Gothic"/>
    </font>
    <font>
      <b/>
      <sz val="10.0"/>
      <color rgb="FFFFFFFF"/>
      <name val="Malgun Gothic"/>
    </font>
    <font>
      <sz val="10.0"/>
      <color rgb="FF18363D"/>
      <name val="Malgun Gothic"/>
    </font>
    <font>
      <b/>
      <sz val="11.0"/>
      <color rgb="FFFFFFFF"/>
      <name val="Malgun Gothic"/>
    </font>
    <font>
      <b/>
      <sz val="11.0"/>
      <color rgb="FF17383E"/>
      <name val="Malgun Gothic"/>
    </font>
    <font>
      <b/>
      <sz val="10.0"/>
      <color rgb="FFC75146"/>
      <name val="Malgun Gothic"/>
    </font>
    <font>
      <b/>
      <sz val="10.0"/>
      <color rgb="FF18363D"/>
      <name val="Malgun Gothic"/>
    </font>
    <font>
      <b/>
      <sz val="10.0"/>
      <color rgb="FF073B4C"/>
      <name val="Malgun Gothic"/>
    </font>
    <font>
      <u/>
      <sz val="9.0"/>
      <color rgb="FF0000FF"/>
      <name val="Malgun Gothic"/>
    </font>
    <font>
      <b/>
      <sz val="9.0"/>
      <color rgb="FF0B5361"/>
      <name val="Malgun Gothic"/>
    </font>
    <font>
      <sz val="9.0"/>
      <color rgb="FF233638"/>
      <name val="Malgun Gothic"/>
    </font>
    <font>
      <sz val="10.0"/>
      <color rgb="FF000000"/>
      <name val="Carlito"/>
    </font>
    <font>
      <i/>
      <sz val="9.0"/>
      <color rgb="FF4E666A"/>
      <name val="Malgun Gothic"/>
    </font>
    <font>
      <sz val="9.0"/>
      <color rgb="FF4E666A"/>
      <name val="Malgun Gothic"/>
    </font>
    <font>
      <b/>
      <sz val="10.0"/>
      <color rgb="FF31545A"/>
      <name val="Malgun Gothic"/>
    </font>
    <font>
      <i/>
      <u/>
      <sz val="9.0"/>
      <color rgb="FF0000FF"/>
      <name val="Malgun Gothic"/>
    </font>
    <font>
      <b/>
      <sz val="10.0"/>
      <color rgb="FF1E5660"/>
      <name val="Malgun Gothic"/>
    </font>
    <font>
      <sz val="10.0"/>
      <color rgb="FF355458"/>
      <name val="Malgun Gothic"/>
    </font>
    <font>
      <sz val="10.0"/>
      <color rgb="FF40575B"/>
      <name val="Malgun Gothic"/>
    </font>
    <font>
      <b/>
      <sz val="10.0"/>
      <color rgb="FFB4533F"/>
      <name val="Malgun Gothic"/>
    </font>
    <font>
      <sz val="10.0"/>
      <color rgb="FF687779"/>
      <name val="Malgun Gothic"/>
    </font>
    <font>
      <b/>
      <sz val="10.0"/>
      <color rgb="FF8B6A17"/>
      <name val="Malgun Gothic"/>
    </font>
    <font>
      <b/>
      <sz val="10.0"/>
      <color rgb="FF2F6C58"/>
      <name val="Malgun Gothic"/>
    </font>
    <font>
      <sz val="10.0"/>
      <color rgb="FF3E8E5B"/>
      <name val="Malgun Gothic"/>
    </font>
    <font>
      <b/>
      <sz val="10.0"/>
      <color rgb="FF8A641D"/>
      <name val="Malgun Gothic"/>
    </font>
  </fonts>
  <fills count="30">
    <fill>
      <patternFill patternType="none"/>
    </fill>
    <fill>
      <patternFill patternType="lightGray"/>
    </fill>
    <fill>
      <patternFill patternType="solid">
        <fgColor rgb="FF073B4C"/>
        <bgColor rgb="FF073B4C"/>
      </patternFill>
    </fill>
    <fill>
      <patternFill patternType="solid">
        <fgColor rgb="FF0A5361"/>
        <bgColor rgb="FF0A5361"/>
      </patternFill>
    </fill>
    <fill>
      <patternFill patternType="solid">
        <fgColor rgb="FF22C7C7"/>
        <bgColor rgb="FF22C7C7"/>
      </patternFill>
    </fill>
    <fill>
      <patternFill patternType="solid">
        <fgColor rgb="FF0B5361"/>
        <bgColor rgb="FF0B5361"/>
      </patternFill>
    </fill>
    <fill>
      <patternFill patternType="solid">
        <fgColor rgb="FFEEF7F6"/>
        <bgColor rgb="FFEEF7F6"/>
      </patternFill>
    </fill>
    <fill>
      <patternFill patternType="solid">
        <fgColor rgb="FFFFFFFF"/>
        <bgColor rgb="FFFFFFFF"/>
      </patternFill>
    </fill>
    <fill>
      <patternFill patternType="solid">
        <fgColor rgb="FFF7FBFA"/>
        <bgColor rgb="FFF7FBFA"/>
      </patternFill>
    </fill>
    <fill>
      <patternFill patternType="solid">
        <fgColor rgb="FFE8F7F5"/>
        <bgColor rgb="FFE8F7F5"/>
      </patternFill>
    </fill>
    <fill>
      <patternFill patternType="solid">
        <fgColor rgb="FFDDF7F4"/>
        <bgColor rgb="FFDDF7F4"/>
      </patternFill>
    </fill>
    <fill>
      <patternFill patternType="solid">
        <fgColor rgb="FF0C7F88"/>
        <bgColor rgb="FF0C7F88"/>
      </patternFill>
    </fill>
    <fill>
      <patternFill patternType="solid">
        <fgColor rgb="FFFCE8E6"/>
        <bgColor rgb="FFFCE8E6"/>
      </patternFill>
    </fill>
    <fill>
      <patternFill patternType="solid">
        <fgColor rgb="FFE4F3E9"/>
        <bgColor rgb="FFE4F3E9"/>
      </patternFill>
    </fill>
    <fill>
      <patternFill patternType="solid">
        <fgColor rgb="FFDDF1F7"/>
        <bgColor rgb="FFDDF1F7"/>
      </patternFill>
    </fill>
    <fill>
      <patternFill patternType="solid">
        <fgColor rgb="FFFCE6E0"/>
        <bgColor rgb="FFFCE6E0"/>
      </patternFill>
    </fill>
    <fill>
      <patternFill patternType="solid">
        <fgColor rgb="FFFFF3C7"/>
        <bgColor rgb="FFFFF3C7"/>
      </patternFill>
    </fill>
    <fill>
      <patternFill patternType="solid">
        <fgColor rgb="FFFFF0E0"/>
        <bgColor rgb="FFFFF0E0"/>
      </patternFill>
    </fill>
    <fill>
      <patternFill patternType="solid">
        <fgColor rgb="FFE7F2E2"/>
        <bgColor rgb="FFE7F2E2"/>
      </patternFill>
    </fill>
    <fill>
      <patternFill patternType="solid">
        <fgColor rgb="FFE9ECFA"/>
        <bgColor rgb="FFE9ECFA"/>
      </patternFill>
    </fill>
    <fill>
      <patternFill patternType="solid">
        <fgColor rgb="FFFFF0D6"/>
        <bgColor rgb="FFFFF0D6"/>
      </patternFill>
    </fill>
    <fill>
      <patternFill patternType="solid">
        <fgColor rgb="FFF2F4F4"/>
        <bgColor rgb="FFF2F4F4"/>
      </patternFill>
    </fill>
    <fill>
      <patternFill patternType="solid">
        <fgColor rgb="FF5E8E47"/>
        <bgColor rgb="FF5E8E47"/>
      </patternFill>
    </fill>
    <fill>
      <patternFill patternType="solid">
        <fgColor rgb="FFF5FAF9"/>
        <bgColor rgb="FFF5FAF9"/>
      </patternFill>
    </fill>
    <fill>
      <patternFill patternType="solid">
        <fgColor rgb="FFEEF8F6"/>
        <bgColor rgb="FFEEF8F6"/>
      </patternFill>
    </fill>
    <fill>
      <patternFill patternType="solid">
        <fgColor rgb="FFF4F9F8"/>
        <bgColor rgb="FFF4F9F8"/>
      </patternFill>
    </fill>
    <fill>
      <patternFill patternType="solid">
        <fgColor rgb="FFF8E4DE"/>
        <bgColor rgb="FFF8E4DE"/>
      </patternFill>
    </fill>
    <fill>
      <patternFill patternType="solid">
        <fgColor rgb="FFF3F5F5"/>
        <bgColor rgb="FFF3F5F5"/>
      </patternFill>
    </fill>
    <fill>
      <patternFill patternType="solid">
        <fgColor rgb="FFFBF1CF"/>
        <bgColor rgb="FFFBF1CF"/>
      </patternFill>
    </fill>
    <fill>
      <patternFill patternType="solid">
        <fgColor rgb="FFE6F2EC"/>
        <bgColor rgb="FFE6F2EC"/>
      </patternFill>
    </fill>
  </fills>
  <borders count="72">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D9E5E6"/>
      </left>
    </border>
    <border>
      <right style="thin">
        <color rgb="FFD9E5E6"/>
      </right>
    </border>
    <border>
      <left style="thin">
        <color rgb="FFD9E5E6"/>
      </left>
      <bottom style="thin">
        <color rgb="FFD9E5E6"/>
      </bottom>
    </border>
    <border>
      <bottom style="thin">
        <color rgb="FFD9E5E6"/>
      </bottom>
    </border>
    <border>
      <right style="thin">
        <color rgb="FFD9E5E6"/>
      </right>
      <bottom style="thin">
        <color rgb="FFD9E5E6"/>
      </bottom>
    </border>
    <border>
      <left style="thin">
        <color rgb="FF000000"/>
      </left>
      <top style="thin">
        <color rgb="FF000000"/>
      </top>
    </border>
    <border>
      <top style="thin">
        <color rgb="FF000000"/>
      </top>
    </border>
    <border>
      <left style="thin">
        <color rgb="FFD9E5E6"/>
      </left>
      <top style="thin">
        <color rgb="FFD9E5E6"/>
      </top>
      <bottom style="thin">
        <color rgb="FFD9E5E6"/>
      </bottom>
    </border>
    <border>
      <right style="thin">
        <color rgb="FF000000"/>
      </right>
      <top style="thin">
        <color rgb="FF000000"/>
      </top>
    </border>
    <border>
      <left style="thin">
        <color rgb="FF000000"/>
      </left>
    </border>
    <border>
      <right style="thin">
        <color rgb="FFD9E5E6"/>
      </right>
      <top style="thin">
        <color rgb="FFD9E5E6"/>
      </top>
      <bottom style="thin">
        <color rgb="FFD9E5E6"/>
      </bottom>
    </border>
    <border>
      <left style="thin">
        <color rgb="FFD9E5E6"/>
      </left>
      <top style="thin">
        <color rgb="FFD9E5E6"/>
      </top>
    </border>
    <border>
      <right style="thin">
        <color rgb="FFD9E5E6"/>
      </right>
      <top style="thin">
        <color rgb="FFD9E5E6"/>
      </top>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right style="thin">
        <color rgb="FF000000"/>
      </right>
      <top style="thin">
        <color rgb="FFFFFFFF"/>
      </top>
      <bottom style="thin">
        <color rgb="FFFFFFFF"/>
      </bottom>
    </border>
    <border>
      <left style="thin">
        <color rgb="FF000000"/>
      </left>
      <bottom style="thin">
        <color rgb="FF000000"/>
      </bottom>
    </border>
    <border>
      <bottom style="thin">
        <color rgb="FF000000"/>
      </bottom>
    </border>
    <border>
      <top style="thin">
        <color rgb="FFFFFFFF"/>
      </top>
      <bottom style="thin">
        <color rgb="FF000000"/>
      </bottom>
    </border>
    <border>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000000"/>
      </right>
      <top style="thin">
        <color rgb="FFFFFFFF"/>
      </top>
      <bottom style="thin">
        <color rgb="FF000000"/>
      </bottom>
    </border>
    <border>
      <top style="thin">
        <color rgb="FFD9E5E6"/>
      </top>
    </border>
    <border>
      <right style="thin">
        <color rgb="FF000000"/>
      </right>
    </border>
    <border>
      <left style="thin">
        <color rgb="FF000000"/>
      </left>
      <bottom style="thin">
        <color rgb="FFFFFFFF"/>
      </bottom>
    </border>
    <border>
      <right style="thin">
        <color rgb="FF000000"/>
      </right>
      <bottom style="thin">
        <color rgb="FFFFFFFF"/>
      </bottom>
    </border>
    <border>
      <bottom style="thin">
        <color rgb="FFFFFFFF"/>
      </bottom>
    </border>
    <border>
      <left style="thin">
        <color rgb="FF000000"/>
      </left>
      <top style="thin">
        <color rgb="FFFFFFFF"/>
      </top>
    </border>
    <border>
      <right style="thin">
        <color rgb="FF000000"/>
      </right>
      <top style="thin">
        <color rgb="FFFFFFFF"/>
      </top>
    </border>
    <border>
      <right style="thin">
        <color rgb="FF000000"/>
      </right>
      <bottom style="thin">
        <color rgb="FF000000"/>
      </bottom>
    </border>
    <border>
      <left style="medium">
        <color rgb="FF5DA9A3"/>
      </left>
      <top style="medium">
        <color rgb="FF5DA9A3"/>
      </top>
    </border>
    <border>
      <top style="medium">
        <color rgb="FF5DA9A3"/>
      </top>
    </border>
    <border>
      <right style="medium">
        <color rgb="FF5DA9A3"/>
      </right>
      <top style="medium">
        <color rgb="FF5DA9A3"/>
      </top>
    </border>
    <border>
      <right style="thin">
        <color rgb="FFD9E5E6"/>
      </right>
      <top style="medium">
        <color rgb="FF5DA9A3"/>
      </top>
    </border>
    <border>
      <left style="medium">
        <color rgb="FF5DA9A3"/>
      </left>
    </border>
    <border>
      <right style="medium">
        <color rgb="FF5DA9A3"/>
      </right>
    </border>
    <border>
      <left style="medium">
        <color rgb="FF5DA9A3"/>
      </left>
      <bottom style="medium">
        <color rgb="FF5DA9A3"/>
      </bottom>
    </border>
    <border>
      <bottom style="medium">
        <color rgb="FF5DA9A3"/>
      </bottom>
    </border>
    <border>
      <right style="medium">
        <color rgb="FF5DA9A3"/>
      </right>
      <bottom style="medium">
        <color rgb="FF5DA9A3"/>
      </bottom>
    </border>
    <border>
      <left style="thin">
        <color rgb="FFFFFFFF"/>
      </left>
      <top style="thin">
        <color rgb="FFFFFFFF"/>
      </top>
    </border>
    <border>
      <top style="thin">
        <color rgb="FFFFFFFF"/>
      </top>
    </border>
    <border>
      <left style="thin">
        <color rgb="FFD9E5E6"/>
      </left>
      <top style="medium">
        <color rgb="FF22C7C7"/>
      </top>
      <bottom style="thin">
        <color rgb="FF22C7C7"/>
      </bottom>
    </border>
    <border>
      <right style="thin">
        <color rgb="FFFFFFFF"/>
      </right>
      <top style="thin">
        <color rgb="FFFFFFFF"/>
      </top>
    </border>
    <border>
      <top style="medium">
        <color rgb="FF22C7C7"/>
      </top>
      <bottom style="thin">
        <color rgb="FF22C7C7"/>
      </bottom>
    </border>
    <border>
      <left style="thin">
        <color rgb="FF000000"/>
      </left>
      <top style="thin">
        <color rgb="FF000000"/>
      </top>
      <bottom style="thin">
        <color rgb="FFFFFFFF"/>
      </bottom>
    </border>
    <border>
      <right style="thin">
        <color rgb="FFFFFFFF"/>
      </right>
      <top style="thin">
        <color rgb="FF000000"/>
      </top>
      <bottom style="thin">
        <color rgb="FFFFFFFF"/>
      </bottom>
    </border>
    <border>
      <left style="thin">
        <color rgb="FFFFFFFF"/>
      </left>
      <top style="thin">
        <color rgb="FF000000"/>
      </top>
      <bottom style="thin">
        <color rgb="FFFFFFFF"/>
      </bottom>
    </border>
    <border>
      <right style="thin">
        <color rgb="FFD9E5E6"/>
      </right>
      <top style="medium">
        <color rgb="FF22C7C7"/>
      </top>
      <bottom style="thin">
        <color rgb="FF22C7C7"/>
      </bottom>
    </border>
    <border>
      <left style="thin">
        <color rgb="FFD9E5E6"/>
      </left>
      <top style="medium">
        <color rgb="FF22C7C7"/>
      </top>
      <bottom style="thin">
        <color rgb="FFD9E5E6"/>
      </bottom>
    </border>
    <border>
      <top style="medium">
        <color rgb="FF22C7C7"/>
      </top>
      <bottom style="thin">
        <color rgb="FFD9E5E6"/>
      </bottom>
    </border>
    <border>
      <left style="thin">
        <color rgb="FFFFFFFF"/>
      </left>
      <right style="thin">
        <color rgb="FFFFFFFF"/>
      </right>
      <top style="thin">
        <color rgb="FF000000"/>
      </top>
      <bottom style="thin">
        <color rgb="FFFFFFFF"/>
      </bottom>
    </border>
    <border>
      <left style="thin">
        <color rgb="FFFFFFFF"/>
      </left>
      <right style="thin">
        <color rgb="FF000000"/>
      </right>
      <top style="thin">
        <color rgb="FF000000"/>
      </top>
      <bottom style="thin">
        <color rgb="FFFFFFFF"/>
      </bottom>
    </border>
    <border>
      <left style="thin">
        <color rgb="FF000000"/>
      </left>
      <top style="thin">
        <color rgb="FFFFFFFF"/>
      </top>
      <bottom style="thin">
        <color rgb="FFFFFFFF"/>
      </bottom>
    </border>
    <border>
      <left style="thin">
        <color rgb="FF000000"/>
      </left>
      <top style="thin">
        <color rgb="FFFFFFFF"/>
      </top>
      <bottom style="thin">
        <color rgb="FF000000"/>
      </bottom>
    </border>
    <border>
      <right style="thin">
        <color rgb="FFD9E5E6"/>
      </right>
      <top style="medium">
        <color rgb="FF22C7C7"/>
      </top>
      <bottom style="thin">
        <color rgb="FFD9E5E6"/>
      </bottom>
    </border>
    <border>
      <left style="thin">
        <color rgb="FFD9E5E6"/>
      </left>
      <top style="medium">
        <color rgb="FFE87457"/>
      </top>
      <bottom style="thin">
        <color rgb="FFD9E5E6"/>
      </bottom>
    </border>
    <border>
      <top style="medium">
        <color rgb="FFE87457"/>
      </top>
      <bottom style="thin">
        <color rgb="FFD9E5E6"/>
      </bottom>
    </border>
    <border>
      <right style="thin">
        <color rgb="FFD9E5E6"/>
      </right>
      <top style="medium">
        <color rgb="FFE87457"/>
      </top>
      <bottom style="thin">
        <color rgb="FFD9E5E6"/>
      </bottom>
    </border>
    <border>
      <left style="thin">
        <color rgb="FFD9E5E6"/>
      </left>
      <top style="medium">
        <color rgb="FFF1C75B"/>
      </top>
      <bottom style="thin">
        <color rgb="FFD9E5E6"/>
      </bottom>
    </border>
    <border>
      <top style="medium">
        <color rgb="FFF1C75B"/>
      </top>
      <bottom style="thin">
        <color rgb="FFD9E5E6"/>
      </bottom>
    </border>
    <border>
      <right style="thin">
        <color rgb="FFD9E5E6"/>
      </right>
      <top style="medium">
        <color rgb="FFF1C75B"/>
      </top>
      <bottom style="thin">
        <color rgb="FFD9E5E6"/>
      </bottom>
    </border>
    <border>
      <left style="thin">
        <color rgb="FFD9E5E6"/>
      </left>
      <top style="medium">
        <color rgb="FF5E8E47"/>
      </top>
      <bottom style="thin">
        <color rgb="FFD9E5E6"/>
      </bottom>
    </border>
    <border>
      <top style="medium">
        <color rgb="FF5E8E47"/>
      </top>
      <bottom style="thin">
        <color rgb="FFD9E5E6"/>
      </bottom>
    </border>
    <border>
      <right style="thin">
        <color rgb="FFD9E5E6"/>
      </right>
      <top style="medium">
        <color rgb="FF5E8E47"/>
      </top>
      <bottom style="thin">
        <color rgb="FFD9E5E6"/>
      </bottom>
    </border>
    <border>
      <left style="thin">
        <color rgb="FFD9E5E6"/>
      </left>
      <top style="medium">
        <color rgb="FF6474B8"/>
      </top>
      <bottom style="thin">
        <color rgb="FFD9E5E6"/>
      </bottom>
    </border>
    <border>
      <top style="medium">
        <color rgb="FF6474B8"/>
      </top>
      <bottom style="thin">
        <color rgb="FFD9E5E6"/>
      </bottom>
    </border>
    <border>
      <right style="thin">
        <color rgb="FFD9E5E6"/>
      </right>
      <top style="medium">
        <color rgb="FF6474B8"/>
      </top>
      <bottom style="thin">
        <color rgb="FFD9E5E6"/>
      </bottom>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1"/>
    </xf>
    <xf borderId="0" fillId="2" fontId="1" numFmtId="0" xfId="0" applyAlignment="1" applyFont="1">
      <alignment horizontal="left" vertical="center"/>
    </xf>
    <xf borderId="0" fillId="3" fontId="2" numFmtId="0" xfId="0" applyAlignment="1" applyFill="1" applyFont="1">
      <alignment horizontal="left" shrinkToFit="0" vertical="center" wrapText="1"/>
    </xf>
    <xf borderId="0" fillId="4" fontId="3" numFmtId="0" xfId="0" applyAlignment="1" applyFill="1" applyFont="1">
      <alignment shrinkToFit="0" wrapText="1"/>
    </xf>
    <xf borderId="1" fillId="5" fontId="4" numFmtId="0" xfId="0" applyAlignment="1" applyBorder="1" applyFill="1" applyFont="1">
      <alignment horizontal="left" shrinkToFit="0" vertical="center" wrapText="1"/>
    </xf>
    <xf borderId="0" fillId="3" fontId="5" numFmtId="0" xfId="0" applyAlignment="1" applyFont="1">
      <alignment horizontal="left" vertical="center"/>
    </xf>
    <xf borderId="2" fillId="0" fontId="6" numFmtId="0" xfId="0" applyBorder="1" applyFont="1"/>
    <xf borderId="0" fillId="4" fontId="7" numFmtId="0" xfId="0" applyFont="1"/>
    <xf borderId="0" fillId="6" fontId="8" numFmtId="0" xfId="0" applyAlignment="1" applyFill="1" applyFont="1">
      <alignment horizontal="center" shrinkToFit="0" vertical="center" wrapText="1"/>
    </xf>
    <xf borderId="3" fillId="0" fontId="6" numFmtId="0" xfId="0" applyBorder="1" applyFont="1"/>
    <xf borderId="0" fillId="7" fontId="3" numFmtId="0" xfId="0" applyAlignment="1" applyFill="1" applyFont="1">
      <alignment horizontal="left" shrinkToFit="0" vertical="center" wrapText="1"/>
    </xf>
    <xf borderId="0" fillId="8" fontId="7" numFmtId="0" xfId="0" applyFill="1" applyFont="1"/>
    <xf borderId="1" fillId="9" fontId="9" numFmtId="0" xfId="0" applyAlignment="1" applyBorder="1" applyFill="1" applyFont="1">
      <alignment horizontal="left" shrinkToFit="0" vertical="center" wrapText="1"/>
    </xf>
    <xf borderId="0" fillId="3" fontId="10" numFmtId="0" xfId="0" applyAlignment="1" applyFont="1">
      <alignment horizontal="center" vertical="center"/>
    </xf>
    <xf borderId="0" fillId="7" fontId="3" numFmtId="0" xfId="0" applyAlignment="1" applyFont="1">
      <alignment shrinkToFit="0" wrapText="1"/>
    </xf>
    <xf borderId="4" fillId="0" fontId="3" numFmtId="0" xfId="0" applyAlignment="1" applyBorder="1" applyFont="1">
      <alignment shrinkToFit="0" vertical="center" wrapText="1"/>
    </xf>
    <xf borderId="5" fillId="7" fontId="11" numFmtId="0" xfId="0" applyAlignment="1" applyBorder="1" applyFont="1">
      <alignment horizontal="center" shrinkToFit="0" vertical="center" wrapText="1"/>
    </xf>
    <xf borderId="6" fillId="0" fontId="6" numFmtId="0" xfId="0" applyBorder="1" applyFont="1"/>
    <xf borderId="0" fillId="5" fontId="10" numFmtId="0" xfId="0" applyAlignment="1" applyFont="1">
      <alignment horizontal="left" shrinkToFit="0" vertical="center" wrapText="1"/>
    </xf>
    <xf borderId="7" fillId="0" fontId="6" numFmtId="0" xfId="0" applyBorder="1" applyFont="1"/>
    <xf borderId="8" fillId="0" fontId="6" numFmtId="0" xfId="0" applyBorder="1" applyFont="1"/>
    <xf borderId="9" fillId="0" fontId="6" numFmtId="0" xfId="0" applyBorder="1" applyFont="1"/>
    <xf borderId="10" fillId="5" fontId="12" numFmtId="0" xfId="0" applyAlignment="1" applyBorder="1" applyFont="1">
      <alignment horizontal="left" shrinkToFit="0" vertical="center" wrapText="1"/>
    </xf>
    <xf borderId="11" fillId="0" fontId="6" numFmtId="0" xfId="0" applyBorder="1" applyFont="1"/>
    <xf borderId="12" fillId="10" fontId="13" numFmtId="0" xfId="0" applyAlignment="1" applyBorder="1" applyFill="1" applyFont="1">
      <alignment horizontal="center" shrinkToFit="0" vertical="center" wrapText="1"/>
    </xf>
    <xf borderId="13" fillId="0" fontId="6" numFmtId="0" xfId="0" applyBorder="1" applyFont="1"/>
    <xf borderId="14" fillId="6" fontId="8" numFmtId="0" xfId="0" applyAlignment="1" applyBorder="1" applyFont="1">
      <alignment horizontal="center" shrinkToFit="0" vertical="center" wrapText="1"/>
    </xf>
    <xf borderId="15" fillId="0" fontId="6" numFmtId="0" xfId="0" applyBorder="1" applyFont="1"/>
    <xf borderId="2" fillId="7" fontId="3" numFmtId="0" xfId="0" applyAlignment="1" applyBorder="1" applyFont="1">
      <alignment horizontal="left" shrinkToFit="0" vertical="center" wrapText="1"/>
    </xf>
    <xf borderId="0" fillId="11" fontId="12" numFmtId="0" xfId="0" applyAlignment="1" applyFill="1" applyFont="1">
      <alignment horizontal="left" vertical="center"/>
    </xf>
    <xf borderId="1" fillId="6" fontId="8" numFmtId="0" xfId="0" applyAlignment="1" applyBorder="1" applyFont="1">
      <alignment horizontal="center" shrinkToFit="0" vertical="center" wrapText="1"/>
    </xf>
    <xf borderId="1" fillId="12" fontId="14" numFmtId="0" xfId="0" applyAlignment="1" applyBorder="1" applyFill="1" applyFont="1">
      <alignment horizontal="center" shrinkToFit="0" vertical="center" wrapText="1"/>
    </xf>
    <xf borderId="12" fillId="13" fontId="13" numFmtId="0" xfId="0" applyAlignment="1" applyBorder="1" applyFill="1" applyFont="1">
      <alignment horizontal="center" shrinkToFit="0" vertical="center" wrapText="1"/>
    </xf>
    <xf borderId="16" fillId="10" fontId="15" numFmtId="0" xfId="0" applyAlignment="1" applyBorder="1" applyFont="1">
      <alignment horizontal="center" shrinkToFit="0" vertical="center" wrapText="1"/>
    </xf>
    <xf borderId="17" fillId="0" fontId="6" numFmtId="0" xfId="0" applyBorder="1" applyFont="1"/>
    <xf borderId="16" fillId="14" fontId="15" numFmtId="0" xfId="0" applyAlignment="1" applyBorder="1" applyFill="1" applyFont="1">
      <alignment horizontal="center" shrinkToFit="0" vertical="center" wrapText="1"/>
    </xf>
    <xf borderId="18" fillId="6" fontId="8" numFmtId="0" xfId="0" applyAlignment="1" applyBorder="1" applyFont="1">
      <alignment horizontal="center" shrinkToFit="0" vertical="center" wrapText="1"/>
    </xf>
    <xf borderId="19" fillId="7" fontId="3" numFmtId="0" xfId="0" applyAlignment="1" applyBorder="1" applyFont="1">
      <alignment horizontal="left" shrinkToFit="0" vertical="center" wrapText="1"/>
    </xf>
    <xf borderId="16" fillId="15" fontId="15" numFmtId="0" xfId="0" applyAlignment="1" applyBorder="1" applyFill="1" applyFont="1">
      <alignment horizontal="center" shrinkToFit="0" vertical="center" wrapText="1"/>
    </xf>
    <xf borderId="12" fillId="12" fontId="13" numFmtId="0" xfId="0" applyAlignment="1" applyBorder="1" applyFont="1">
      <alignment horizontal="center" shrinkToFit="0" vertical="center" wrapText="1"/>
    </xf>
    <xf borderId="16" fillId="16" fontId="15" numFmtId="0" xfId="0" applyAlignment="1" applyBorder="1" applyFill="1" applyFont="1">
      <alignment horizontal="center" shrinkToFit="0" vertical="center" wrapText="1"/>
    </xf>
    <xf borderId="16" fillId="17" fontId="15" numFmtId="0" xfId="0" applyAlignment="1" applyBorder="1" applyFill="1" applyFont="1">
      <alignment horizontal="center" shrinkToFit="0" vertical="center" wrapText="1"/>
    </xf>
    <xf borderId="16" fillId="18" fontId="15" numFmtId="0" xfId="0" applyAlignment="1" applyBorder="1" applyFill="1" applyFont="1">
      <alignment horizontal="center" shrinkToFit="0" vertical="center" wrapText="1"/>
    </xf>
    <xf borderId="16" fillId="19" fontId="15" numFmtId="0" xfId="0" applyAlignment="1" applyBorder="1" applyFill="1" applyFont="1">
      <alignment horizontal="center" shrinkToFit="0" vertical="center" wrapText="1"/>
    </xf>
    <xf borderId="1" fillId="7" fontId="3" numFmtId="0" xfId="0" applyAlignment="1" applyBorder="1" applyFont="1">
      <alignment horizontal="left" shrinkToFit="0" vertical="center" wrapText="1"/>
    </xf>
    <xf borderId="12" fillId="20" fontId="13" numFmtId="0" xfId="0" applyAlignment="1" applyBorder="1" applyFill="1" applyFont="1">
      <alignment horizontal="center" shrinkToFit="0" vertical="center" wrapText="1"/>
    </xf>
    <xf borderId="20" fillId="0" fontId="6" numFmtId="0" xfId="0" applyBorder="1" applyFont="1"/>
    <xf borderId="21" fillId="6" fontId="8" numFmtId="0" xfId="0" applyAlignment="1" applyBorder="1" applyFont="1">
      <alignment horizontal="center" shrinkToFit="0" vertical="center" wrapText="1"/>
    </xf>
    <xf borderId="22" fillId="0" fontId="6" numFmtId="0" xfId="0" applyBorder="1" applyFont="1"/>
    <xf borderId="23" fillId="7" fontId="3" numFmtId="0" xfId="0" applyAlignment="1" applyBorder="1" applyFont="1">
      <alignment horizontal="left" shrinkToFit="0" vertical="center" wrapText="1"/>
    </xf>
    <xf borderId="12" fillId="21" fontId="13" numFmtId="0" xfId="0" applyAlignment="1" applyBorder="1" applyFill="1" applyFont="1">
      <alignment horizontal="center" shrinkToFit="0" vertical="center" wrapText="1"/>
    </xf>
    <xf borderId="23" fillId="0" fontId="6" numFmtId="0" xfId="0" applyBorder="1" applyFont="1"/>
    <xf borderId="0" fillId="22" fontId="12" numFmtId="0" xfId="0" applyAlignment="1" applyFill="1" applyFont="1">
      <alignment horizontal="left" vertical="center"/>
    </xf>
    <xf borderId="24" fillId="0" fontId="6" numFmtId="0" xfId="0" applyBorder="1" applyFont="1"/>
    <xf borderId="8" fillId="6" fontId="16" numFmtId="0" xfId="0" applyAlignment="1" applyBorder="1" applyFont="1">
      <alignment horizontal="center" vertical="center"/>
    </xf>
    <xf borderId="25" fillId="6" fontId="8" numFmtId="0" xfId="0" applyAlignment="1" applyBorder="1" applyFont="1">
      <alignment horizontal="center" shrinkToFit="0" vertical="center" wrapText="1"/>
    </xf>
    <xf borderId="8" fillId="7" fontId="11" numFmtId="0" xfId="0" applyAlignment="1" applyBorder="1" applyFont="1">
      <alignment horizontal="left" shrinkToFit="0" vertical="center" wrapText="1"/>
    </xf>
    <xf borderId="12" fillId="16" fontId="13" numFmtId="0" xfId="0" applyAlignment="1" applyBorder="1" applyFont="1">
      <alignment horizontal="center" shrinkToFit="0" vertical="center" wrapText="1"/>
    </xf>
    <xf borderId="25" fillId="7" fontId="17" numFmtId="0" xfId="0" applyAlignment="1" applyBorder="1" applyFont="1">
      <alignment horizontal="left" shrinkToFit="0" vertical="center" wrapText="1"/>
    </xf>
    <xf borderId="26" fillId="0" fontId="6" numFmtId="0" xfId="0" applyBorder="1" applyFont="1"/>
    <xf borderId="10" fillId="6" fontId="8" numFmtId="0" xfId="0" applyAlignment="1" applyBorder="1" applyFont="1">
      <alignment horizontal="center" shrinkToFit="0" vertical="center" wrapText="1"/>
    </xf>
    <xf borderId="0" fillId="11" fontId="10" numFmtId="0" xfId="0" applyAlignment="1" applyFont="1">
      <alignment horizontal="center" vertical="center"/>
    </xf>
    <xf borderId="12" fillId="18" fontId="13" numFmtId="0" xfId="0" applyAlignment="1" applyBorder="1" applyFont="1">
      <alignment horizontal="center" shrinkToFit="0" vertical="center" wrapText="1"/>
    </xf>
    <xf borderId="11" fillId="7" fontId="3" numFmtId="0" xfId="0" applyAlignment="1" applyBorder="1" applyFont="1">
      <alignment horizontal="left" shrinkToFit="0" vertical="top" wrapText="1"/>
    </xf>
    <xf borderId="16" fillId="7" fontId="11" numFmtId="0" xfId="0" applyAlignment="1" applyBorder="1" applyFont="1">
      <alignment horizontal="left" shrinkToFit="0" vertical="center" wrapText="1"/>
    </xf>
    <xf borderId="27" fillId="0" fontId="6" numFmtId="0" xfId="0" applyBorder="1" applyFont="1"/>
    <xf borderId="14" fillId="0" fontId="6" numFmtId="0" xfId="0" applyBorder="1" applyFont="1"/>
    <xf borderId="28" fillId="0" fontId="6" numFmtId="0" xfId="0" applyBorder="1" applyFont="1"/>
    <xf borderId="29" fillId="0" fontId="6" numFmtId="0" xfId="0" applyBorder="1" applyFont="1"/>
    <xf borderId="30" fillId="0" fontId="6" numFmtId="0" xfId="0" applyBorder="1" applyFont="1"/>
    <xf borderId="31" fillId="0" fontId="6" numFmtId="0" xfId="0" applyBorder="1" applyFont="1"/>
    <xf borderId="5" fillId="0" fontId="6" numFmtId="0" xfId="0" applyBorder="1" applyFont="1"/>
    <xf borderId="0" fillId="3" fontId="10" numFmtId="0" xfId="0" applyAlignment="1" applyFont="1">
      <alignment horizontal="center" shrinkToFit="0" vertical="center" wrapText="1"/>
    </xf>
    <xf borderId="32" fillId="6" fontId="8" numFmtId="0" xfId="0" applyAlignment="1" applyBorder="1" applyFont="1">
      <alignment horizontal="center" shrinkToFit="0" vertical="center" wrapText="1"/>
    </xf>
    <xf borderId="33" fillId="0" fontId="6" numFmtId="0" xfId="0" applyBorder="1" applyFont="1"/>
    <xf borderId="16" fillId="5" fontId="10" numFmtId="0" xfId="0" applyAlignment="1" applyBorder="1" applyFont="1">
      <alignment horizontal="center" shrinkToFit="0" vertical="center" wrapText="1"/>
    </xf>
    <xf borderId="27" fillId="5" fontId="10" numFmtId="0" xfId="0" applyAlignment="1" applyBorder="1" applyFont="1">
      <alignment horizontal="center" shrinkToFit="0" vertical="center" wrapText="1"/>
    </xf>
    <xf borderId="0" fillId="16" fontId="15" numFmtId="0" xfId="0" applyAlignment="1" applyFont="1">
      <alignment horizontal="center" vertical="center"/>
    </xf>
    <xf borderId="0" fillId="7" fontId="3" numFmtId="0" xfId="0" applyAlignment="1" applyFont="1">
      <alignment horizontal="center" shrinkToFit="0" vertical="center" wrapText="1"/>
    </xf>
    <xf borderId="21" fillId="0" fontId="6" numFmtId="0" xfId="0" applyBorder="1" applyFont="1"/>
    <xf borderId="34" fillId="0" fontId="6" numFmtId="0" xfId="0" applyBorder="1" applyFont="1"/>
    <xf borderId="0" fillId="0" fontId="3" numFmtId="0" xfId="0" applyAlignment="1" applyFont="1">
      <alignment shrinkToFit="0" vertical="center" wrapText="1"/>
    </xf>
    <xf borderId="5" fillId="6" fontId="8" numFmtId="0" xfId="0" applyAlignment="1" applyBorder="1" applyFont="1">
      <alignment horizontal="center" shrinkToFit="0" vertical="center" wrapText="1"/>
    </xf>
    <xf borderId="0" fillId="9" fontId="18" numFmtId="0" xfId="0" applyAlignment="1" applyFont="1">
      <alignment horizontal="center" shrinkToFit="0" vertical="center" wrapText="1"/>
    </xf>
    <xf borderId="6" fillId="7" fontId="19" numFmtId="0" xfId="0" applyAlignment="1" applyBorder="1" applyFont="1">
      <alignment horizontal="left" shrinkToFit="0" vertical="center" wrapText="1"/>
    </xf>
    <xf borderId="16" fillId="9" fontId="9" numFmtId="0" xfId="0" applyAlignment="1" applyBorder="1" applyFont="1">
      <alignment horizontal="left" shrinkToFit="0" vertical="center" wrapText="1"/>
    </xf>
    <xf borderId="35" fillId="0" fontId="3" numFmtId="0" xfId="0" applyAlignment="1" applyBorder="1" applyFont="1">
      <alignment shrinkToFit="0" vertical="center" wrapText="1"/>
    </xf>
    <xf borderId="36" fillId="0" fontId="3" numFmtId="0" xfId="0" applyAlignment="1" applyBorder="1" applyFont="1">
      <alignment shrinkToFit="0" vertical="center" wrapText="1"/>
    </xf>
    <xf borderId="37" fillId="0" fontId="3" numFmtId="0" xfId="0" applyAlignment="1" applyBorder="1" applyFont="1">
      <alignment shrinkToFit="0" vertical="center" wrapText="1"/>
    </xf>
    <xf borderId="38" fillId="0" fontId="3" numFmtId="0" xfId="0" applyAlignment="1" applyBorder="1" applyFont="1">
      <alignment shrinkToFit="0" vertical="center" wrapText="1"/>
    </xf>
    <xf borderId="36" fillId="0" fontId="20" numFmtId="0" xfId="0" applyAlignment="1" applyBorder="1" applyFont="1">
      <alignment shrinkToFit="0" vertical="bottom" wrapText="0"/>
    </xf>
    <xf borderId="37" fillId="0" fontId="20" numFmtId="0" xfId="0" applyAlignment="1" applyBorder="1" applyFont="1">
      <alignment shrinkToFit="0" vertical="bottom" wrapText="0"/>
    </xf>
    <xf borderId="39" fillId="0" fontId="3" numFmtId="0" xfId="0" applyAlignment="1" applyBorder="1" applyFont="1">
      <alignment shrinkToFit="0" vertical="center" wrapText="1"/>
    </xf>
    <xf borderId="40" fillId="0" fontId="3" numFmtId="0" xfId="0" applyAlignment="1" applyBorder="1" applyFont="1">
      <alignment shrinkToFit="0" vertical="center" wrapText="1"/>
    </xf>
    <xf borderId="6" fillId="0" fontId="3" numFmtId="0" xfId="0" applyAlignment="1" applyBorder="1" applyFont="1">
      <alignment shrinkToFit="0" vertical="center" wrapText="1"/>
    </xf>
    <xf borderId="0" fillId="0" fontId="20" numFmtId="0" xfId="0" applyAlignment="1" applyFont="1">
      <alignment shrinkToFit="0" vertical="bottom" wrapText="0"/>
    </xf>
    <xf borderId="40" fillId="0" fontId="20" numFmtId="0" xfId="0" applyAlignment="1" applyBorder="1" applyFont="1">
      <alignment shrinkToFit="0" vertical="bottom" wrapText="0"/>
    </xf>
    <xf borderId="0" fillId="23" fontId="21" numFmtId="0" xfId="0" applyAlignment="1" applyFill="1" applyFont="1">
      <alignment horizontal="center" shrinkToFit="0" vertical="center" wrapText="1"/>
    </xf>
    <xf borderId="8" fillId="6" fontId="8" numFmtId="0" xfId="0" applyAlignment="1" applyBorder="1" applyFont="1">
      <alignment horizontal="center" shrinkToFit="0" vertical="center" wrapText="1"/>
    </xf>
    <xf borderId="8" fillId="7" fontId="3" numFmtId="0" xfId="0" applyAlignment="1" applyBorder="1" applyFont="1">
      <alignment horizontal="center" shrinkToFit="0" vertical="center" wrapText="1"/>
    </xf>
    <xf borderId="7" fillId="6" fontId="8" numFmtId="0" xfId="0" applyAlignment="1" applyBorder="1" applyFont="1">
      <alignment horizontal="center" shrinkToFit="0" vertical="center" wrapText="1"/>
    </xf>
    <xf borderId="41" fillId="24" fontId="18" numFmtId="0" xfId="0" applyAlignment="1" applyBorder="1" applyFill="1" applyFont="1">
      <alignment horizontal="center" shrinkToFit="0" vertical="center" wrapText="1"/>
    </xf>
    <xf borderId="42" fillId="0" fontId="6" numFmtId="0" xfId="0" applyBorder="1" applyFont="1"/>
    <xf borderId="43" fillId="0" fontId="6" numFmtId="0" xfId="0" applyBorder="1" applyFont="1"/>
    <xf borderId="0" fillId="23" fontId="22" numFmtId="0" xfId="0" applyAlignment="1" applyFont="1">
      <alignment horizontal="center" shrinkToFit="0" vertical="center" wrapText="1"/>
    </xf>
    <xf borderId="0" fillId="7" fontId="22" numFmtId="0" xfId="0" applyAlignment="1" applyFont="1">
      <alignment horizontal="center" shrinkToFit="0" vertical="center" wrapText="1"/>
    </xf>
    <xf borderId="0" fillId="6" fontId="23" numFmtId="0" xfId="0" applyAlignment="1" applyFont="1">
      <alignment horizontal="center" shrinkToFit="0" vertical="center" wrapText="1"/>
    </xf>
    <xf borderId="7" fillId="7" fontId="24" numFmtId="0" xfId="0" applyAlignment="1" applyBorder="1" applyFont="1">
      <alignment horizontal="left" shrinkToFit="0" vertical="center" wrapText="1"/>
    </xf>
    <xf borderId="5" fillId="0" fontId="3" numFmtId="0" xfId="0" applyAlignment="1" applyBorder="1" applyFont="1">
      <alignment shrinkToFit="0" vertical="center" wrapText="1"/>
    </xf>
    <xf borderId="0" fillId="7" fontId="3" numFmtId="164" xfId="0" applyAlignment="1" applyFont="1" applyNumberFormat="1">
      <alignment horizontal="left" shrinkToFit="0" vertical="center" wrapText="1"/>
    </xf>
    <xf borderId="44" fillId="5" fontId="12" numFmtId="0" xfId="0" applyAlignment="1" applyBorder="1" applyFont="1">
      <alignment horizontal="left" shrinkToFit="0" vertical="center" wrapText="1"/>
    </xf>
    <xf borderId="45" fillId="0" fontId="6" numFmtId="0" xfId="0" applyBorder="1" applyFont="1"/>
    <xf borderId="46" fillId="5" fontId="10" numFmtId="0" xfId="0" applyAlignment="1" applyBorder="1" applyFont="1">
      <alignment horizontal="center" shrinkToFit="0" vertical="center" wrapText="1"/>
    </xf>
    <xf borderId="47" fillId="0" fontId="6" numFmtId="0" xfId="0" applyBorder="1" applyFont="1"/>
    <xf borderId="48" fillId="5" fontId="10" numFmtId="0" xfId="0" applyAlignment="1" applyBorder="1" applyFont="1">
      <alignment horizontal="center" shrinkToFit="0" vertical="center" wrapText="1"/>
    </xf>
    <xf borderId="49" fillId="6" fontId="8" numFmtId="0" xfId="0" applyAlignment="1" applyBorder="1" applyFont="1">
      <alignment horizontal="center" shrinkToFit="0" vertical="center" wrapText="1"/>
    </xf>
    <xf borderId="50" fillId="0" fontId="6" numFmtId="0" xfId="0" applyBorder="1" applyFont="1"/>
    <xf borderId="51" fillId="7" fontId="3" numFmtId="0" xfId="0" applyAlignment="1" applyBorder="1" applyFont="1">
      <alignment horizontal="left" shrinkToFit="0" vertical="center" wrapText="1"/>
    </xf>
    <xf borderId="51" fillId="6" fontId="8" numFmtId="0" xfId="0" applyAlignment="1" applyBorder="1" applyFont="1">
      <alignment horizontal="center" shrinkToFit="0" vertical="center" wrapText="1"/>
    </xf>
    <xf borderId="52" fillId="5" fontId="10" numFmtId="0" xfId="0" applyAlignment="1" applyBorder="1" applyFont="1">
      <alignment horizontal="center" shrinkToFit="0" vertical="center" wrapText="1"/>
    </xf>
    <xf borderId="51" fillId="12" fontId="14" numFmtId="0" xfId="0" applyAlignment="1" applyBorder="1" applyFont="1">
      <alignment horizontal="center" shrinkToFit="0" vertical="center" wrapText="1"/>
    </xf>
    <xf borderId="53" fillId="7" fontId="8" numFmtId="0" xfId="0" applyAlignment="1" applyBorder="1" applyFont="1">
      <alignment horizontal="center" shrinkToFit="0" vertical="center" wrapText="1"/>
    </xf>
    <xf borderId="54" fillId="25" fontId="25" numFmtId="0" xfId="0" applyAlignment="1" applyBorder="1" applyFill="1" applyFont="1">
      <alignment horizontal="center" shrinkToFit="0" vertical="center" wrapText="1"/>
    </xf>
    <xf borderId="54" fillId="25" fontId="26" numFmtId="0" xfId="0" applyAlignment="1" applyBorder="1" applyFont="1">
      <alignment horizontal="center" shrinkToFit="0" vertical="center" wrapText="1"/>
    </xf>
    <xf borderId="55" fillId="6" fontId="8" numFmtId="0" xfId="0" applyAlignment="1" applyBorder="1" applyFont="1">
      <alignment horizontal="center" shrinkToFit="0" vertical="center" wrapText="1"/>
    </xf>
    <xf borderId="56" fillId="7" fontId="3" numFmtId="0" xfId="0" applyAlignment="1" applyBorder="1" applyFont="1">
      <alignment horizontal="left" shrinkToFit="0" vertical="center" wrapText="1"/>
    </xf>
    <xf borderId="54" fillId="7" fontId="27" numFmtId="0" xfId="0" applyAlignment="1" applyBorder="1" applyFont="1">
      <alignment horizontal="center" shrinkToFit="0" vertical="center" wrapText="1"/>
    </xf>
    <xf borderId="57" fillId="6" fontId="8" numFmtId="0" xfId="0" applyAlignment="1" applyBorder="1" applyFont="1">
      <alignment horizontal="center" shrinkToFit="0" vertical="center" wrapText="1"/>
    </xf>
    <xf borderId="54" fillId="26" fontId="28" numFmtId="0" xfId="0" applyAlignment="1" applyBorder="1" applyFill="1" applyFont="1">
      <alignment horizontal="center" shrinkToFit="0" vertical="center" wrapText="1"/>
    </xf>
    <xf borderId="54" fillId="7" fontId="3" numFmtId="0" xfId="0" applyAlignment="1" applyBorder="1" applyFont="1">
      <alignment horizontal="left" shrinkToFit="0" vertical="top" wrapText="1"/>
    </xf>
    <xf borderId="54" fillId="27" fontId="29" numFmtId="0" xfId="0" applyAlignment="1" applyBorder="1" applyFill="1" applyFont="1">
      <alignment horizontal="center" shrinkToFit="0" vertical="center" wrapText="1"/>
    </xf>
    <xf borderId="54" fillId="7" fontId="3" numFmtId="0" xfId="0" applyAlignment="1" applyBorder="1" applyFont="1">
      <alignment horizontal="center" shrinkToFit="0" vertical="center" wrapText="1"/>
    </xf>
    <xf borderId="58" fillId="6" fontId="8" numFmtId="0" xfId="0" applyAlignment="1" applyBorder="1" applyFont="1">
      <alignment horizontal="center" shrinkToFit="0" vertical="center" wrapText="1"/>
    </xf>
    <xf borderId="59" fillId="7" fontId="3" numFmtId="0" xfId="0" applyAlignment="1" applyBorder="1" applyFont="1">
      <alignment horizontal="left" shrinkToFit="0" vertical="top" wrapText="1"/>
    </xf>
    <xf borderId="25" fillId="7" fontId="3" numFmtId="0" xfId="0" applyAlignment="1" applyBorder="1" applyFont="1">
      <alignment horizontal="left" shrinkToFit="0" vertical="center" wrapText="1"/>
    </xf>
    <xf borderId="5" fillId="7" fontId="3" numFmtId="0" xfId="0" applyAlignment="1" applyBorder="1" applyFont="1">
      <alignment horizontal="center" shrinkToFit="0" vertical="center" wrapText="1"/>
    </xf>
    <xf borderId="0" fillId="25" fontId="25" numFmtId="0" xfId="0" applyAlignment="1" applyFont="1">
      <alignment horizontal="center" shrinkToFit="0" vertical="center" wrapText="1"/>
    </xf>
    <xf borderId="0" fillId="25" fontId="26" numFmtId="0" xfId="0" applyAlignment="1" applyFont="1">
      <alignment horizontal="center" shrinkToFit="0" vertical="center" wrapText="1"/>
    </xf>
    <xf borderId="0" fillId="7" fontId="27" numFmtId="0" xfId="0" applyAlignment="1" applyFont="1">
      <alignment horizontal="center" shrinkToFit="0" vertical="center" wrapText="1"/>
    </xf>
    <xf borderId="0" fillId="28" fontId="30" numFmtId="0" xfId="0" applyAlignment="1" applyFill="1" applyFont="1">
      <alignment horizontal="center" shrinkToFit="0" vertical="center" wrapText="1"/>
    </xf>
    <xf borderId="0" fillId="7" fontId="3" numFmtId="0" xfId="0" applyAlignment="1" applyFont="1">
      <alignment horizontal="left" shrinkToFit="0" vertical="top" wrapText="1"/>
    </xf>
    <xf borderId="0" fillId="27" fontId="29" numFmtId="0" xfId="0" applyAlignment="1" applyFont="1">
      <alignment horizontal="center" shrinkToFit="0" vertical="center" wrapText="1"/>
    </xf>
    <xf borderId="6" fillId="7" fontId="3" numFmtId="0" xfId="0" applyAlignment="1" applyBorder="1" applyFont="1">
      <alignment horizontal="left" shrinkToFit="0" vertical="top" wrapText="1"/>
    </xf>
    <xf borderId="10" fillId="7" fontId="3" numFmtId="0" xfId="0" applyAlignment="1" applyBorder="1" applyFont="1">
      <alignment horizontal="left" shrinkToFit="0" vertical="top" wrapText="1"/>
    </xf>
    <xf borderId="0" fillId="29" fontId="31" numFmtId="0" xfId="0" applyAlignment="1" applyFill="1" applyFont="1">
      <alignment horizontal="center" shrinkToFit="0" vertical="center" wrapText="1"/>
    </xf>
    <xf borderId="0" fillId="26" fontId="28" numFmtId="0" xfId="0" applyAlignment="1" applyFont="1">
      <alignment horizontal="center" shrinkToFit="0" vertical="center" wrapText="1"/>
    </xf>
    <xf borderId="60" fillId="7" fontId="8" numFmtId="0" xfId="0" applyAlignment="1" applyBorder="1" applyFont="1">
      <alignment horizontal="center" shrinkToFit="0" vertical="center" wrapText="1"/>
    </xf>
    <xf borderId="61" fillId="25" fontId="25" numFmtId="0" xfId="0" applyAlignment="1" applyBorder="1" applyFont="1">
      <alignment horizontal="center" shrinkToFit="0" vertical="center" wrapText="1"/>
    </xf>
    <xf borderId="5" fillId="7" fontId="22" numFmtId="0" xfId="0" applyAlignment="1" applyBorder="1" applyFont="1">
      <alignment horizontal="center" shrinkToFit="0" vertical="center" wrapText="1"/>
    </xf>
    <xf borderId="61" fillId="25" fontId="26" numFmtId="0" xfId="0" applyAlignment="1" applyBorder="1" applyFont="1">
      <alignment horizontal="center" shrinkToFit="0" vertical="center" wrapText="1"/>
    </xf>
    <xf borderId="61" fillId="7" fontId="27" numFmtId="0" xfId="0" applyAlignment="1" applyBorder="1" applyFont="1">
      <alignment horizontal="center" shrinkToFit="0" vertical="center" wrapText="1"/>
    </xf>
    <xf borderId="61" fillId="29" fontId="31" numFmtId="0" xfId="0" applyAlignment="1" applyBorder="1" applyFont="1">
      <alignment horizontal="center" shrinkToFit="0" vertical="center" wrapText="1"/>
    </xf>
    <xf borderId="0" fillId="7" fontId="3" numFmtId="0" xfId="0" applyAlignment="1" applyFont="1">
      <alignment shrinkToFit="0" vertical="center" wrapText="1"/>
    </xf>
    <xf borderId="61" fillId="7" fontId="3" numFmtId="0" xfId="0" applyAlignment="1" applyBorder="1" applyFont="1">
      <alignment horizontal="left" shrinkToFit="0" vertical="top" wrapText="1"/>
    </xf>
    <xf borderId="7" fillId="7" fontId="21" numFmtId="0" xfId="0" applyAlignment="1" applyBorder="1" applyFont="1">
      <alignment horizontal="left" shrinkToFit="0" vertical="center" wrapText="1"/>
    </xf>
    <xf borderId="8" fillId="7" fontId="21" numFmtId="0" xfId="0" applyAlignment="1" applyBorder="1" applyFont="1">
      <alignment horizontal="left" shrinkToFit="0" vertical="center" wrapText="1"/>
    </xf>
    <xf borderId="61" fillId="27" fontId="29" numFmtId="0" xfId="0" applyAlignment="1" applyBorder="1" applyFont="1">
      <alignment horizontal="center" shrinkToFit="0" vertical="center" wrapText="1"/>
    </xf>
    <xf borderId="61" fillId="7" fontId="3" numFmtId="0" xfId="0" applyAlignment="1" applyBorder="1" applyFont="1">
      <alignment horizontal="center" shrinkToFit="0" vertical="center" wrapText="1"/>
    </xf>
    <xf borderId="62" fillId="7" fontId="3" numFmtId="0" xfId="0" applyAlignment="1" applyBorder="1" applyFont="1">
      <alignment horizontal="left" shrinkToFit="0" vertical="top" wrapText="1"/>
    </xf>
    <xf borderId="9" fillId="7" fontId="21" numFmtId="0" xfId="0" applyAlignment="1" applyBorder="1" applyFont="1">
      <alignment horizontal="left" shrinkToFit="0" vertical="center" wrapText="1"/>
    </xf>
    <xf borderId="63" fillId="7" fontId="8" numFmtId="0" xfId="0" applyAlignment="1" applyBorder="1" applyFont="1">
      <alignment horizontal="center" shrinkToFit="0" vertical="center" wrapText="1"/>
    </xf>
    <xf borderId="64" fillId="25" fontId="25" numFmtId="0" xfId="0" applyAlignment="1" applyBorder="1" applyFont="1">
      <alignment horizontal="center" shrinkToFit="0" vertical="center" wrapText="1"/>
    </xf>
    <xf borderId="64" fillId="25" fontId="26" numFmtId="0" xfId="0" applyAlignment="1" applyBorder="1" applyFont="1">
      <alignment horizontal="center" shrinkToFit="0" vertical="center" wrapText="1"/>
    </xf>
    <xf borderId="64" fillId="7" fontId="27" numFmtId="0" xfId="0" applyAlignment="1" applyBorder="1" applyFont="1">
      <alignment horizontal="center" shrinkToFit="0" vertical="center" wrapText="1"/>
    </xf>
    <xf borderId="64" fillId="29" fontId="31" numFmtId="0" xfId="0" applyAlignment="1" applyBorder="1" applyFont="1">
      <alignment horizontal="center" shrinkToFit="0" vertical="center" wrapText="1"/>
    </xf>
    <xf borderId="64" fillId="7" fontId="3" numFmtId="0" xfId="0" applyAlignment="1" applyBorder="1" applyFont="1">
      <alignment horizontal="left" shrinkToFit="0" vertical="top" wrapText="1"/>
    </xf>
    <xf borderId="64" fillId="27" fontId="29" numFmtId="0" xfId="0" applyAlignment="1" applyBorder="1" applyFont="1">
      <alignment horizontal="center" shrinkToFit="0" vertical="center" wrapText="1"/>
    </xf>
    <xf borderId="64" fillId="7" fontId="3" numFmtId="0" xfId="0" applyAlignment="1" applyBorder="1" applyFont="1">
      <alignment horizontal="center" shrinkToFit="0" vertical="center" wrapText="1"/>
    </xf>
    <xf borderId="65" fillId="7" fontId="3" numFmtId="0" xfId="0" applyAlignment="1" applyBorder="1" applyFont="1">
      <alignment horizontal="left" shrinkToFit="0" vertical="top" wrapText="1"/>
    </xf>
    <xf borderId="64" fillId="26" fontId="28" numFmtId="0" xfId="0" applyAlignment="1" applyBorder="1" applyFont="1">
      <alignment horizontal="center" shrinkToFit="0" vertical="center" wrapText="1"/>
    </xf>
    <xf borderId="66" fillId="7" fontId="8" numFmtId="0" xfId="0" applyAlignment="1" applyBorder="1" applyFont="1">
      <alignment horizontal="center" shrinkToFit="0" vertical="center" wrapText="1"/>
    </xf>
    <xf borderId="67" fillId="25" fontId="25" numFmtId="0" xfId="0" applyAlignment="1" applyBorder="1" applyFont="1">
      <alignment horizontal="center" shrinkToFit="0" vertical="center" wrapText="1"/>
    </xf>
    <xf borderId="67" fillId="25" fontId="26" numFmtId="0" xfId="0" applyAlignment="1" applyBorder="1" applyFont="1">
      <alignment horizontal="center" shrinkToFit="0" vertical="center" wrapText="1"/>
    </xf>
    <xf borderId="67" fillId="7" fontId="27" numFmtId="0" xfId="0" applyAlignment="1" applyBorder="1" applyFont="1">
      <alignment horizontal="center" shrinkToFit="0" vertical="center" wrapText="1"/>
    </xf>
    <xf borderId="67" fillId="29" fontId="31" numFmtId="0" xfId="0" applyAlignment="1" applyBorder="1" applyFont="1">
      <alignment horizontal="center" shrinkToFit="0" vertical="center" wrapText="1"/>
    </xf>
    <xf borderId="67" fillId="7" fontId="3" numFmtId="0" xfId="0" applyAlignment="1" applyBorder="1" applyFont="1">
      <alignment horizontal="left" shrinkToFit="0" vertical="top" wrapText="1"/>
    </xf>
    <xf borderId="67" fillId="27" fontId="29" numFmtId="0" xfId="0" applyAlignment="1" applyBorder="1" applyFont="1">
      <alignment horizontal="center" shrinkToFit="0" vertical="center" wrapText="1"/>
    </xf>
    <xf borderId="67" fillId="7" fontId="3" numFmtId="0" xfId="0" applyAlignment="1" applyBorder="1" applyFont="1">
      <alignment horizontal="center" shrinkToFit="0" vertical="center" wrapText="1"/>
    </xf>
    <xf borderId="68" fillId="7" fontId="3" numFmtId="0" xfId="0" applyAlignment="1" applyBorder="1" applyFont="1">
      <alignment horizontal="left" shrinkToFit="0" vertical="top" wrapText="1"/>
    </xf>
    <xf borderId="69" fillId="7" fontId="8" numFmtId="0" xfId="0" applyAlignment="1" applyBorder="1" applyFont="1">
      <alignment horizontal="center" shrinkToFit="0" vertical="center" wrapText="1"/>
    </xf>
    <xf borderId="70" fillId="25" fontId="25" numFmtId="0" xfId="0" applyAlignment="1" applyBorder="1" applyFont="1">
      <alignment horizontal="center" shrinkToFit="0" vertical="center" wrapText="1"/>
    </xf>
    <xf borderId="70" fillId="25" fontId="26" numFmtId="0" xfId="0" applyAlignment="1" applyBorder="1" applyFont="1">
      <alignment horizontal="center" shrinkToFit="0" vertical="center" wrapText="1"/>
    </xf>
    <xf borderId="70" fillId="7" fontId="27" numFmtId="0" xfId="0" applyAlignment="1" applyBorder="1" applyFont="1">
      <alignment horizontal="center" shrinkToFit="0" vertical="center" wrapText="1"/>
    </xf>
    <xf borderId="70" fillId="28" fontId="30" numFmtId="0" xfId="0" applyAlignment="1" applyBorder="1" applyFont="1">
      <alignment horizontal="center" shrinkToFit="0" vertical="center" wrapText="1"/>
    </xf>
    <xf borderId="70" fillId="7" fontId="3" numFmtId="0" xfId="0" applyAlignment="1" applyBorder="1" applyFont="1">
      <alignment horizontal="left" shrinkToFit="0" vertical="top" wrapText="1"/>
    </xf>
    <xf borderId="70" fillId="27" fontId="29" numFmtId="0" xfId="0" applyAlignment="1" applyBorder="1" applyFont="1">
      <alignment horizontal="center" shrinkToFit="0" vertical="center" wrapText="1"/>
    </xf>
    <xf borderId="70" fillId="7" fontId="3" numFmtId="0" xfId="0" applyAlignment="1" applyBorder="1" applyFont="1">
      <alignment horizontal="center" shrinkToFit="0" vertical="center" wrapText="1"/>
    </xf>
    <xf borderId="71" fillId="7" fontId="3" numFmtId="0" xfId="0" applyAlignment="1" applyBorder="1" applyFont="1">
      <alignment horizontal="left" shrinkToFit="0" vertical="top" wrapText="1"/>
    </xf>
    <xf borderId="7" fillId="7" fontId="3" numFmtId="0" xfId="0" applyAlignment="1" applyBorder="1" applyFont="1">
      <alignment horizontal="center" shrinkToFit="0" vertical="center" wrapText="1"/>
    </xf>
    <xf borderId="8" fillId="25" fontId="25" numFmtId="0" xfId="0" applyAlignment="1" applyBorder="1" applyFont="1">
      <alignment horizontal="center" shrinkToFit="0" vertical="center" wrapText="1"/>
    </xf>
    <xf borderId="8" fillId="25" fontId="26" numFmtId="0" xfId="0" applyAlignment="1" applyBorder="1" applyFont="1">
      <alignment horizontal="center" shrinkToFit="0" vertical="center" wrapText="1"/>
    </xf>
    <xf borderId="8" fillId="7" fontId="27" numFmtId="0" xfId="0" applyAlignment="1" applyBorder="1" applyFont="1">
      <alignment horizontal="center" shrinkToFit="0" vertical="center" wrapText="1"/>
    </xf>
    <xf borderId="8" fillId="28" fontId="30" numFmtId="0" xfId="0" applyAlignment="1" applyBorder="1" applyFont="1">
      <alignment horizontal="center" shrinkToFit="0" vertical="center" wrapText="1"/>
    </xf>
    <xf borderId="8" fillId="7" fontId="3" numFmtId="0" xfId="0" applyAlignment="1" applyBorder="1" applyFont="1">
      <alignment horizontal="left" shrinkToFit="0" vertical="top" wrapText="1"/>
    </xf>
    <xf borderId="8" fillId="27" fontId="29" numFmtId="0" xfId="0" applyAlignment="1" applyBorder="1" applyFont="1">
      <alignment horizontal="center" shrinkToFit="0" vertical="center" wrapText="1"/>
    </xf>
    <xf borderId="9" fillId="7" fontId="3" numFmtId="0" xfId="0" applyAlignment="1" applyBorder="1" applyFont="1">
      <alignment horizontal="left" shrinkToFit="0" vertical="top" wrapText="1"/>
    </xf>
    <xf borderId="8" fillId="15" fontId="14" numFmtId="0" xfId="0" applyAlignment="1" applyBorder="1" applyFont="1">
      <alignment horizontal="center" shrinkToFit="0" vertical="center" wrapText="1"/>
    </xf>
    <xf borderId="8" fillId="13" fontId="32" numFmtId="0" xfId="0" applyAlignment="1" applyBorder="1" applyFont="1">
      <alignment horizontal="center" shrinkToFit="0" vertical="center" wrapText="1"/>
    </xf>
    <xf borderId="8" fillId="16" fontId="33" numFmtId="0" xfId="0" applyAlignment="1" applyBorder="1" applyFont="1">
      <alignment horizontal="center" shrinkToFit="0" vertical="center" wrapText="1"/>
    </xf>
    <xf borderId="0" fillId="7" fontId="7" numFmtId="0" xfId="0" applyFont="1"/>
  </cellXfs>
  <cellStyles count="1">
    <cellStyle xfId="0" name="Normal" builtinId="0"/>
  </cellStyles>
  <dxfs count="8">
    <dxf>
      <font>
        <b/>
        <color rgb="FFC75146"/>
      </font>
      <fill>
        <patternFill patternType="solid">
          <fgColor rgb="FFFCE6E0"/>
          <bgColor rgb="FFFCE6E0"/>
        </patternFill>
      </fill>
      <border/>
    </dxf>
    <dxf>
      <font>
        <b/>
        <color rgb="FF8A641D"/>
      </font>
      <fill>
        <patternFill patternType="solid">
          <fgColor rgb="FFFFF3C7"/>
          <bgColor rgb="FFFFF3C7"/>
        </patternFill>
      </fill>
      <border/>
    </dxf>
    <dxf>
      <font>
        <b/>
        <color rgb="FF0C7F88"/>
      </font>
      <fill>
        <patternFill patternType="solid">
          <fgColor rgb="FFDDF7F4"/>
          <bgColor rgb="FFDDF7F4"/>
        </patternFill>
      </fill>
      <border/>
    </dxf>
    <dxf>
      <font>
        <b/>
        <color rgb="FF3E8E5B"/>
      </font>
      <fill>
        <patternFill patternType="solid">
          <fgColor rgb="FFE4F3E9"/>
          <bgColor rgb="FFE4F3E9"/>
        </patternFill>
      </fill>
      <border/>
    </dxf>
    <dxf>
      <font>
        <b/>
        <color rgb="FFC75146"/>
      </font>
      <fill>
        <patternFill patternType="solid">
          <fgColor rgb="FFFCE8E6"/>
          <bgColor rgb="FFFCE8E6"/>
        </patternFill>
      </fill>
      <border/>
    </dxf>
    <dxf>
      <font>
        <b/>
        <color rgb="FFC98627"/>
      </font>
      <fill>
        <patternFill patternType="solid">
          <fgColor rgb="FFFFF0D6"/>
          <bgColor rgb="FFFFF0D6"/>
        </patternFill>
      </fill>
      <border/>
    </dxf>
    <dxf>
      <font>
        <color rgb="FF66757A"/>
      </font>
      <fill>
        <patternFill patternType="solid">
          <fgColor rgb="FFF2F4F4"/>
          <bgColor rgb="FFF2F4F4"/>
        </patternFill>
      </fill>
      <border/>
    </dxf>
    <dxf>
      <font>
        <color rgb="FF666666"/>
      </font>
      <fill>
        <patternFill patternType="solid">
          <fgColor rgb="FFECECEC"/>
          <bgColor rgb="FFECECE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3.jpg"/><Relationship Id="rId3" Type="http://schemas.openxmlformats.org/officeDocument/2006/relationships/image" Target="../media/image5.jpg"/><Relationship Id="rId4" Type="http://schemas.openxmlformats.org/officeDocument/2006/relationships/image" Target="../media/image2.jpg"/><Relationship Id="rId5" Type="http://schemas.openxmlformats.org/officeDocument/2006/relationships/image" Target="../media/image1.jpg"/><Relationship Id="rId6"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209550</xdr:rowOff>
    </xdr:from>
    <xdr:ext cx="3781425" cy="251460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876300</xdr:colOff>
      <xdr:row>19</xdr:row>
      <xdr:rowOff>257175</xdr:rowOff>
    </xdr:from>
    <xdr:ext cx="4095750" cy="230505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990600</xdr:colOff>
      <xdr:row>19</xdr:row>
      <xdr:rowOff>209550</xdr:rowOff>
    </xdr:from>
    <xdr:ext cx="4095750" cy="2305050"/>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54</xdr:row>
      <xdr:rowOff>152400</xdr:rowOff>
    </xdr:from>
    <xdr:ext cx="3781425" cy="2305050"/>
    <xdr:pic>
      <xdr:nvPicPr>
        <xdr:cNvPr id="0" name="image2.jp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876300</xdr:colOff>
      <xdr:row>54</xdr:row>
      <xdr:rowOff>152400</xdr:rowOff>
    </xdr:from>
    <xdr:ext cx="4095750" cy="2305050"/>
    <xdr:pic>
      <xdr:nvPicPr>
        <xdr:cNvPr id="0" name="image1.jp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1028700</xdr:colOff>
      <xdr:row>54</xdr:row>
      <xdr:rowOff>152400</xdr:rowOff>
    </xdr:from>
    <xdr:ext cx="4019550" cy="2305050"/>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203234"/>
      </a:dk1>
      <a:lt1>
        <a:srgbClr val="FFFFFF"/>
      </a:lt1>
      <a:dk2>
        <a:srgbClr val="203234"/>
      </a:dk2>
      <a:lt2>
        <a:srgbClr val="FFFFFF"/>
      </a:lt2>
      <a:accent1>
        <a:srgbClr val="0B5361"/>
      </a:accent1>
      <a:accent2>
        <a:srgbClr val="0E7C7B"/>
      </a:accent2>
      <a:accent3>
        <a:srgbClr val="4F8A5B"/>
      </a:accent3>
      <a:accent4>
        <a:srgbClr val="D9B86C"/>
      </a:accent4>
      <a:accent5>
        <a:srgbClr val="D96B5F"/>
      </a:accent5>
      <a:accent6>
        <a:srgbClr val="9BB9B5"/>
      </a:accent6>
      <a:hlink>
        <a:srgbClr val="0E6A8A"/>
      </a:hlink>
      <a:folHlink>
        <a:srgbClr val="0E6A8A"/>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iIg7cMr1FT6KVt5xrtAWzZGrwk4bsQjf/view?usp=sharing" TargetMode="External"/><Relationship Id="rId2" Type="http://schemas.openxmlformats.org/officeDocument/2006/relationships/hyperlink" Target="https://drive.google.com/file/d/1iIg7cMr1FT6KVt5xrtAWzZGrwk4bsQjf/view?usp=sharing" TargetMode="External"/><Relationship Id="rId3" Type="http://schemas.openxmlformats.org/officeDocument/2006/relationships/hyperlink" Target="https://drive.google.com/file/d/1C65CmPBBVAUhP4y1744ri5izNuICwhW5/view?usp=sharing" TargetMode="External"/><Relationship Id="rId4" Type="http://schemas.openxmlformats.org/officeDocument/2006/relationships/hyperlink" Target="https://drive.google.com/file/d/1C65CmPBBVAUhP4y1744ri5izNuICwhW5/view?usp=sharing" TargetMode="External"/><Relationship Id="rId5"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18.29"/>
    <col customWidth="1" min="3" max="3" width="12.57"/>
    <col customWidth="1" min="4" max="4" width="18.29"/>
    <col customWidth="1" min="5" max="5" width="12.57"/>
    <col customWidth="1" min="6" max="6" width="18.29"/>
    <col customWidth="1" min="7" max="8" width="12.57"/>
    <col customWidth="1" min="9" max="9" width="18.29"/>
    <col customWidth="1" min="10" max="10" width="12.57"/>
    <col customWidth="1" min="11" max="11" width="18.29"/>
    <col customWidth="1" min="12" max="12" width="12.57"/>
    <col customWidth="1" min="13" max="13" width="13.71"/>
    <col customWidth="1" min="14" max="14" width="18.29"/>
  </cols>
  <sheetData>
    <row r="1" ht="27.75" customHeight="1">
      <c r="A1" s="2" t="s">
        <v>1</v>
      </c>
    </row>
    <row r="2" ht="27.75" customHeight="1"/>
    <row r="3" ht="21.75" customHeight="1">
      <c r="A3" s="6" t="s">
        <v>4</v>
      </c>
    </row>
    <row r="4" ht="4.5" customHeight="1">
      <c r="A4" s="8"/>
      <c r="B4" s="8"/>
      <c r="C4" s="8"/>
      <c r="D4" s="8"/>
      <c r="E4" s="8"/>
      <c r="F4" s="8"/>
      <c r="G4" s="8"/>
      <c r="H4" s="8"/>
      <c r="I4" s="8"/>
      <c r="J4" s="8"/>
      <c r="K4" s="8"/>
      <c r="L4" s="8"/>
      <c r="M4" s="8"/>
      <c r="N4" s="8"/>
    </row>
    <row r="5" ht="15.75" customHeight="1">
      <c r="A5" s="12"/>
      <c r="B5" s="12"/>
      <c r="C5" s="12"/>
      <c r="D5" s="12"/>
      <c r="E5" s="12"/>
      <c r="F5" s="12"/>
      <c r="G5" s="12"/>
      <c r="H5" s="12"/>
      <c r="I5" s="12"/>
      <c r="J5" s="12"/>
      <c r="K5" s="12"/>
      <c r="L5" s="12"/>
      <c r="M5" s="12"/>
      <c r="N5" s="12"/>
    </row>
    <row r="6" ht="21.75" customHeight="1">
      <c r="A6" s="14" t="s">
        <v>19</v>
      </c>
      <c r="E6" s="14" t="s">
        <v>21</v>
      </c>
      <c r="J6" s="14" t="s">
        <v>22</v>
      </c>
    </row>
    <row r="7" ht="33.75" customHeight="1">
      <c r="A7" s="17" t="s">
        <v>23</v>
      </c>
      <c r="D7" s="18"/>
      <c r="E7" s="17" t="s">
        <v>25</v>
      </c>
      <c r="I7" s="18"/>
      <c r="J7" s="17" t="s">
        <v>26</v>
      </c>
      <c r="N7" s="18"/>
    </row>
    <row r="8" ht="33.75" customHeight="1">
      <c r="A8" s="20"/>
      <c r="B8" s="21"/>
      <c r="C8" s="21"/>
      <c r="D8" s="22"/>
      <c r="E8" s="20"/>
      <c r="F8" s="21"/>
      <c r="G8" s="21"/>
      <c r="H8" s="21"/>
      <c r="I8" s="22"/>
      <c r="J8" s="20"/>
      <c r="K8" s="21"/>
      <c r="L8" s="21"/>
      <c r="M8" s="21"/>
      <c r="N8" s="22"/>
    </row>
    <row r="9" ht="15.75" customHeight="1">
      <c r="A9" s="12"/>
      <c r="B9" s="12"/>
      <c r="C9" s="12"/>
      <c r="D9" s="12"/>
      <c r="E9" s="12"/>
      <c r="F9" s="12"/>
      <c r="G9" s="12"/>
      <c r="H9" s="12"/>
      <c r="I9" s="12"/>
      <c r="J9" s="12"/>
      <c r="K9" s="12"/>
      <c r="L9" s="12"/>
      <c r="M9" s="12"/>
      <c r="N9" s="12"/>
    </row>
    <row r="10" ht="24.0" customHeight="1">
      <c r="A10" s="30" t="s">
        <v>30</v>
      </c>
    </row>
    <row r="11" ht="15.75" customHeight="1">
      <c r="A11" s="12"/>
      <c r="B11" s="12"/>
      <c r="C11" s="12"/>
      <c r="D11" s="12"/>
      <c r="E11" s="12"/>
      <c r="F11" s="12"/>
      <c r="G11" s="12"/>
      <c r="H11" s="12"/>
      <c r="I11" s="12"/>
      <c r="J11" s="12"/>
      <c r="K11" s="12"/>
      <c r="L11" s="12"/>
      <c r="M11" s="12"/>
      <c r="N11" s="12"/>
    </row>
    <row r="12" ht="39.75" customHeight="1">
      <c r="A12" s="34" t="s">
        <v>33</v>
      </c>
      <c r="B12" s="35"/>
      <c r="C12" s="36" t="s">
        <v>36</v>
      </c>
      <c r="D12" s="35"/>
      <c r="E12" s="39" t="s">
        <v>38</v>
      </c>
      <c r="F12" s="35"/>
      <c r="G12" s="41" t="s">
        <v>41</v>
      </c>
      <c r="H12" s="35"/>
      <c r="I12" s="42" t="s">
        <v>43</v>
      </c>
      <c r="J12" s="35"/>
      <c r="K12" s="43" t="s">
        <v>45</v>
      </c>
      <c r="L12" s="35"/>
      <c r="M12" s="44" t="s">
        <v>47</v>
      </c>
      <c r="N12" s="35"/>
    </row>
    <row r="13" ht="39.75" customHeight="1">
      <c r="A13" s="20"/>
      <c r="B13" s="22"/>
      <c r="C13" s="20"/>
      <c r="D13" s="22"/>
      <c r="E13" s="20"/>
      <c r="F13" s="22"/>
      <c r="G13" s="20"/>
      <c r="H13" s="22"/>
      <c r="I13" s="20"/>
      <c r="J13" s="22"/>
      <c r="K13" s="20"/>
      <c r="L13" s="22"/>
      <c r="M13" s="20"/>
      <c r="N13" s="22"/>
    </row>
    <row r="14" ht="15.75" customHeight="1">
      <c r="A14" s="12"/>
      <c r="B14" s="12"/>
      <c r="C14" s="12"/>
      <c r="D14" s="12"/>
      <c r="E14" s="12"/>
      <c r="F14" s="12"/>
      <c r="G14" s="12"/>
      <c r="H14" s="12"/>
      <c r="I14" s="12"/>
      <c r="J14" s="12"/>
      <c r="K14" s="12"/>
      <c r="L14" s="12"/>
      <c r="M14" s="12"/>
      <c r="N14" s="12"/>
    </row>
    <row r="15" ht="24.0" customHeight="1">
      <c r="A15" s="53" t="s">
        <v>50</v>
      </c>
    </row>
    <row r="16" ht="31.5" customHeight="1">
      <c r="A16" s="55" t="s">
        <v>52</v>
      </c>
      <c r="B16" s="57" t="s">
        <v>53</v>
      </c>
      <c r="C16" s="21"/>
      <c r="D16" s="21"/>
      <c r="E16" s="21"/>
      <c r="F16" s="21"/>
      <c r="G16" s="21"/>
      <c r="H16" s="55" t="s">
        <v>55</v>
      </c>
      <c r="I16" s="57" t="s">
        <v>56</v>
      </c>
      <c r="J16" s="21"/>
      <c r="K16" s="21"/>
      <c r="L16" s="21"/>
      <c r="M16" s="21"/>
      <c r="N16" s="21"/>
    </row>
    <row r="17" ht="31.5" customHeight="1">
      <c r="A17" s="55" t="s">
        <v>57</v>
      </c>
      <c r="B17" s="57" t="s">
        <v>58</v>
      </c>
      <c r="C17" s="21"/>
      <c r="D17" s="21"/>
      <c r="E17" s="21"/>
      <c r="F17" s="21"/>
      <c r="G17" s="21"/>
      <c r="H17" s="55" t="s">
        <v>59</v>
      </c>
      <c r="I17" s="57" t="s">
        <v>60</v>
      </c>
      <c r="J17" s="21"/>
      <c r="K17" s="21"/>
      <c r="L17" s="21"/>
      <c r="M17" s="21"/>
      <c r="N17" s="21"/>
    </row>
    <row r="18" ht="31.5" customHeight="1">
      <c r="A18" s="55" t="s">
        <v>61</v>
      </c>
      <c r="B18" s="57" t="s">
        <v>62</v>
      </c>
      <c r="C18" s="21"/>
      <c r="D18" s="21"/>
      <c r="E18" s="21"/>
      <c r="F18" s="21"/>
      <c r="G18" s="21"/>
      <c r="H18" s="55" t="s">
        <v>37</v>
      </c>
      <c r="I18" s="57" t="s">
        <v>63</v>
      </c>
      <c r="J18" s="21"/>
      <c r="K18" s="21"/>
      <c r="L18" s="21"/>
      <c r="M18" s="21"/>
      <c r="N18" s="21"/>
    </row>
    <row r="19" ht="15.75" customHeight="1">
      <c r="A19" s="12"/>
      <c r="B19" s="12"/>
      <c r="C19" s="12"/>
      <c r="D19" s="12"/>
      <c r="E19" s="12"/>
      <c r="F19" s="12"/>
      <c r="G19" s="12"/>
      <c r="H19" s="12"/>
      <c r="I19" s="12"/>
      <c r="J19" s="12"/>
      <c r="K19" s="12"/>
      <c r="L19" s="12"/>
      <c r="M19" s="12"/>
      <c r="N19" s="12"/>
    </row>
    <row r="20" ht="24.0" customHeight="1">
      <c r="A20" s="62" t="s">
        <v>65</v>
      </c>
      <c r="H20" s="14" t="s">
        <v>67</v>
      </c>
    </row>
    <row r="21" ht="33.75" customHeight="1">
      <c r="A21" s="65" t="s">
        <v>68</v>
      </c>
      <c r="B21" s="66"/>
      <c r="C21" s="66"/>
      <c r="D21" s="66"/>
      <c r="E21" s="66"/>
      <c r="F21" s="66"/>
      <c r="G21" s="35"/>
      <c r="H21" s="65" t="s">
        <v>69</v>
      </c>
      <c r="I21" s="66"/>
      <c r="J21" s="66"/>
      <c r="K21" s="66"/>
      <c r="L21" s="66"/>
      <c r="M21" s="66"/>
      <c r="N21" s="35"/>
    </row>
    <row r="22" ht="33.75" customHeight="1">
      <c r="A22" s="72"/>
      <c r="G22" s="18"/>
      <c r="H22" s="72"/>
      <c r="N22" s="18"/>
    </row>
    <row r="23" ht="33.75" customHeight="1">
      <c r="A23" s="72"/>
      <c r="G23" s="18"/>
      <c r="H23" s="72"/>
      <c r="N23" s="18"/>
    </row>
    <row r="24" ht="33.75" customHeight="1">
      <c r="A24" s="20"/>
      <c r="B24" s="21"/>
      <c r="C24" s="21"/>
      <c r="D24" s="21"/>
      <c r="E24" s="21"/>
      <c r="F24" s="21"/>
      <c r="G24" s="22"/>
      <c r="H24" s="20"/>
      <c r="I24" s="21"/>
      <c r="J24" s="21"/>
      <c r="K24" s="21"/>
      <c r="L24" s="21"/>
      <c r="M24" s="21"/>
      <c r="N24" s="22"/>
    </row>
    <row r="25" ht="15.75" customHeight="1">
      <c r="A25" s="12"/>
      <c r="B25" s="12"/>
      <c r="C25" s="12"/>
      <c r="D25" s="12"/>
      <c r="E25" s="12"/>
      <c r="F25" s="12"/>
      <c r="G25" s="12"/>
      <c r="H25" s="12"/>
      <c r="I25" s="12"/>
      <c r="J25" s="12"/>
      <c r="K25" s="12"/>
      <c r="L25" s="12"/>
      <c r="M25" s="12"/>
      <c r="N25" s="12"/>
    </row>
    <row r="26" ht="24.75" customHeight="1">
      <c r="A26" s="78" t="s">
        <v>78</v>
      </c>
    </row>
    <row r="27" ht="15.75" customHeight="1">
      <c r="A27" s="12"/>
      <c r="B27" s="12"/>
      <c r="C27" s="12"/>
      <c r="D27" s="12"/>
      <c r="E27" s="12"/>
      <c r="F27" s="12"/>
      <c r="G27" s="12"/>
      <c r="H27" s="12"/>
      <c r="I27" s="12"/>
      <c r="J27" s="12"/>
      <c r="K27" s="12"/>
      <c r="L27" s="12"/>
      <c r="M27" s="12"/>
      <c r="N27" s="12"/>
    </row>
    <row r="28" ht="15.75" customHeight="1">
      <c r="A28" s="12"/>
      <c r="B28" s="12"/>
      <c r="C28" s="12"/>
      <c r="D28" s="12"/>
      <c r="E28" s="12"/>
      <c r="F28" s="12"/>
      <c r="G28" s="12"/>
      <c r="H28" s="12"/>
      <c r="I28" s="12"/>
      <c r="J28" s="12"/>
      <c r="K28" s="12"/>
      <c r="L28" s="12"/>
      <c r="M28" s="12"/>
      <c r="N28" s="12"/>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N2"/>
    <mergeCell ref="A3:N3"/>
    <mergeCell ref="A6:D6"/>
    <mergeCell ref="E6:I6"/>
    <mergeCell ref="J6:N6"/>
    <mergeCell ref="A7:D8"/>
    <mergeCell ref="E7:I8"/>
    <mergeCell ref="K12:L13"/>
    <mergeCell ref="M12:N13"/>
    <mergeCell ref="J7:N8"/>
    <mergeCell ref="A10:N10"/>
    <mergeCell ref="A12:B13"/>
    <mergeCell ref="C12:D13"/>
    <mergeCell ref="E12:F13"/>
    <mergeCell ref="G12:H13"/>
    <mergeCell ref="I12:J13"/>
    <mergeCell ref="A20:G20"/>
    <mergeCell ref="H20:N20"/>
    <mergeCell ref="A21:G24"/>
    <mergeCell ref="H21:N24"/>
    <mergeCell ref="A26:N26"/>
    <mergeCell ref="A15:N15"/>
    <mergeCell ref="B16:G16"/>
    <mergeCell ref="I16:N16"/>
    <mergeCell ref="B17:G17"/>
    <mergeCell ref="I17:N17"/>
    <mergeCell ref="B18:G18"/>
    <mergeCell ref="I18:N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3" width="20.57"/>
    <col customWidth="1" min="4" max="4" width="29.71"/>
    <col customWidth="1" min="5" max="5" width="14.86"/>
    <col customWidth="1" min="6" max="6" width="15.43"/>
    <col customWidth="1" min="7" max="7" width="33.14"/>
    <col customWidth="1" min="8" max="8" width="35.43"/>
    <col customWidth="1" min="9" max="9" width="49.14"/>
    <col customWidth="1" min="10" max="10" width="41.14"/>
    <col customWidth="1" min="11" max="11" width="13.71"/>
    <col customWidth="1" min="12" max="13" width="16.0"/>
    <col customWidth="1" min="14" max="14" width="38.86"/>
  </cols>
  <sheetData>
    <row r="1" ht="30.0" customHeight="1">
      <c r="A1" s="1" t="s">
        <v>0</v>
      </c>
    </row>
    <row r="2" ht="25.5" customHeight="1"/>
    <row r="3" ht="21.75" customHeight="1">
      <c r="A3" s="3" t="s">
        <v>3</v>
      </c>
    </row>
    <row r="4" ht="4.5" customHeight="1">
      <c r="A4" s="4"/>
      <c r="B4" s="4"/>
      <c r="C4" s="4"/>
      <c r="D4" s="4"/>
      <c r="E4" s="4"/>
      <c r="F4" s="4"/>
      <c r="G4" s="4"/>
      <c r="H4" s="4"/>
      <c r="I4" s="4"/>
      <c r="J4" s="4"/>
      <c r="K4" s="4"/>
      <c r="L4" s="4"/>
      <c r="M4" s="4"/>
      <c r="N4" s="4"/>
    </row>
    <row r="5" ht="27.75" customHeight="1">
      <c r="A5" s="9" t="s">
        <v>5</v>
      </c>
      <c r="B5" s="11" t="s">
        <v>6</v>
      </c>
      <c r="D5" s="9" t="s">
        <v>8</v>
      </c>
      <c r="E5" s="11" t="s">
        <v>9</v>
      </c>
      <c r="G5" s="9" t="s">
        <v>10</v>
      </c>
      <c r="H5" s="11" t="s">
        <v>11</v>
      </c>
      <c r="J5" s="9" t="s">
        <v>12</v>
      </c>
      <c r="K5" s="11" t="s">
        <v>13</v>
      </c>
    </row>
    <row r="6" ht="27.75" customHeight="1">
      <c r="A6" s="9" t="s">
        <v>14</v>
      </c>
      <c r="B6" s="11" t="s">
        <v>15</v>
      </c>
      <c r="I6" s="9" t="s">
        <v>16</v>
      </c>
      <c r="J6" s="11" t="s">
        <v>17</v>
      </c>
    </row>
    <row r="7" ht="42.0" customHeight="1">
      <c r="A7" s="9" t="s">
        <v>18</v>
      </c>
      <c r="B7" s="11" t="s">
        <v>20</v>
      </c>
    </row>
    <row r="8" ht="15.75" customHeight="1">
      <c r="A8" s="15"/>
      <c r="B8" s="15"/>
      <c r="C8" s="15"/>
      <c r="D8" s="15"/>
      <c r="E8" s="15"/>
      <c r="F8" s="15"/>
      <c r="G8" s="15"/>
      <c r="H8" s="15"/>
      <c r="I8" s="15"/>
      <c r="J8" s="15"/>
      <c r="K8" s="15"/>
      <c r="L8" s="15"/>
      <c r="M8" s="15"/>
      <c r="N8" s="15"/>
    </row>
    <row r="9" ht="25.5" customHeight="1">
      <c r="A9" s="19" t="s">
        <v>24</v>
      </c>
    </row>
    <row r="10" ht="31.5" customHeight="1">
      <c r="A10" s="25" t="str">
        <f>"총 TC  "&amp;TEXT(COUNTA(A28:A500),"0")</f>
        <v>총 TC  97</v>
      </c>
      <c r="B10" s="28"/>
      <c r="C10" s="33" t="str">
        <f>"Pass  "&amp;TEXT(COUNTIF(K28:K500,"Pass"),"0")</f>
        <v>Pass  95</v>
      </c>
      <c r="D10" s="28"/>
      <c r="E10" s="40" t="str">
        <f>"Fail  "&amp;TEXT(COUNTIF(K28:K500,"Fail"),"0")</f>
        <v>Fail  2</v>
      </c>
      <c r="F10" s="28"/>
      <c r="G10" s="46" t="str">
        <f>"Blocked  "&amp;TEXT(COUNTIF(K28:K500,"Blocked"),"0")</f>
        <v>Blocked  0</v>
      </c>
      <c r="H10" s="28"/>
      <c r="I10" s="51" t="str">
        <f>"Not Run  "&amp;TEXT(COUNTIF(K28:K500,"Not Run"),"0")&amp;"  /  N/A  "&amp;TEXT(COUNTIF(K28:K500,"N/A"),"0")</f>
        <v>Not Run  0  /  N/A  0</v>
      </c>
      <c r="J10" s="28"/>
      <c r="K10" s="58" t="str">
        <f>"실행률  "&amp;TEXT(IF(COUNTA(A28:A500)=0,0,(COUNTIF(K28:K500,"Pass")+COUNTIF(K28:K500,"Fail")+COUNTIF(K28:K500,"Blocked")+COUNTIF(K28:K500,"N/A"))/COUNTA(A28:A500)),"0.0%")</f>
        <v>실행률  100.0%</v>
      </c>
      <c r="L10" s="28"/>
      <c r="M10" s="63" t="str">
        <f>"P1 실행률  "&amp;TEXT(IF(COUNTIF(F28:F500,"P1")=0,0,COUNTIFS(F28:F500,"P1",K28:K500,"&lt;&gt;Not Run",K28:K500,"&lt;&gt;")/COUNTIF(F28:F500,"P1")),"0.0%")</f>
        <v>P1 실행률  100.0%</v>
      </c>
      <c r="N10" s="28"/>
    </row>
    <row r="11" ht="15.75" customHeight="1">
      <c r="A11" s="15"/>
      <c r="B11" s="15"/>
      <c r="C11" s="15"/>
      <c r="D11" s="15"/>
      <c r="E11" s="15"/>
      <c r="F11" s="15"/>
      <c r="G11" s="15"/>
      <c r="H11" s="15"/>
      <c r="I11" s="15"/>
      <c r="J11" s="15"/>
      <c r="K11" s="15"/>
      <c r="L11" s="15"/>
      <c r="M11" s="15"/>
      <c r="N11" s="15"/>
    </row>
    <row r="12" ht="25.5" customHeight="1">
      <c r="A12" s="73" t="s">
        <v>70</v>
      </c>
      <c r="E12" s="73" t="s">
        <v>72</v>
      </c>
      <c r="I12" s="73" t="s">
        <v>73</v>
      </c>
      <c r="K12" s="76" t="s">
        <v>75</v>
      </c>
      <c r="L12" s="66"/>
      <c r="M12" s="77" t="s">
        <v>76</v>
      </c>
      <c r="N12" s="35"/>
    </row>
    <row r="13" ht="19.5" customHeight="1">
      <c r="A13" s="9" t="s">
        <v>77</v>
      </c>
      <c r="B13" s="79">
        <f>COUNTIF(B28:B500,"DLC 진입/진행")</f>
        <v>5</v>
      </c>
      <c r="C13" s="9" t="s">
        <v>81</v>
      </c>
      <c r="D13" s="79">
        <f>COUNTIF(B28:B500,"반쵸 그릴")</f>
        <v>14</v>
      </c>
      <c r="E13" s="9" t="s">
        <v>84</v>
      </c>
      <c r="F13" s="79">
        <f>COUNTIF(E28:E500,"정상")</f>
        <v>48</v>
      </c>
      <c r="G13" s="9" t="s">
        <v>59</v>
      </c>
      <c r="H13" s="79">
        <f>COUNTIF(E28:E500,"지속성")</f>
        <v>4</v>
      </c>
      <c r="I13" s="9" t="s">
        <v>85</v>
      </c>
      <c r="J13" s="79">
        <f>COUNTIF(F28:F500,"P1")</f>
        <v>31</v>
      </c>
      <c r="K13" s="83" t="s">
        <v>35</v>
      </c>
      <c r="L13" s="79">
        <f>COUNTIF(L28:L500,"Defect")</f>
        <v>2</v>
      </c>
      <c r="M13" s="84" t="s">
        <v>29</v>
      </c>
      <c r="N13" s="85" t="s">
        <v>87</v>
      </c>
    </row>
    <row r="14" ht="19.5" customHeight="1">
      <c r="A14" s="9" t="s">
        <v>88</v>
      </c>
      <c r="B14" s="79">
        <f>COUNTIF(B28:B500,"담수호 탐험")</f>
        <v>17</v>
      </c>
      <c r="C14" s="9" t="s">
        <v>89</v>
      </c>
      <c r="D14" s="79">
        <f>COUNTIF(B28:B500,"우타라 마을")</f>
        <v>13</v>
      </c>
      <c r="E14" s="9" t="s">
        <v>90</v>
      </c>
      <c r="F14" s="79">
        <f>COUNTIF(E28:E500,"예외")</f>
        <v>12</v>
      </c>
      <c r="G14" s="9" t="s">
        <v>91</v>
      </c>
      <c r="H14" s="79">
        <f>COUNTIF(E28:E500,"복구")</f>
        <v>2</v>
      </c>
      <c r="I14" s="9" t="s">
        <v>39</v>
      </c>
      <c r="J14" s="79">
        <f>COUNTIF(F28:F500,"P2")</f>
        <v>55</v>
      </c>
      <c r="K14" s="83" t="s">
        <v>92</v>
      </c>
      <c r="L14" s="79">
        <f>COUNTIF(L28:L500,"Observation")</f>
        <v>0</v>
      </c>
      <c r="M14" s="84" t="s">
        <v>93</v>
      </c>
      <c r="N14" s="85" t="s">
        <v>94</v>
      </c>
    </row>
    <row r="15" ht="19.5" customHeight="1">
      <c r="A15" s="9" t="s">
        <v>95</v>
      </c>
      <c r="B15" s="79">
        <f>COUNTIF(B28:B500,"전투/포획")</f>
        <v>12</v>
      </c>
      <c r="C15" s="9" t="s">
        <v>96</v>
      </c>
      <c r="D15" s="79">
        <f>COUNTIF(B28:B500,"장비/성장")</f>
        <v>11</v>
      </c>
      <c r="E15" s="9" t="s">
        <v>97</v>
      </c>
      <c r="F15" s="79">
        <f>COUNTIF(E28:E500,"경계")</f>
        <v>8</v>
      </c>
      <c r="G15" s="9" t="s">
        <v>98</v>
      </c>
      <c r="H15" s="79">
        <f>COUNTIF(E28:E500,"인터럽트")</f>
        <v>0</v>
      </c>
      <c r="I15" s="9" t="s">
        <v>99</v>
      </c>
      <c r="J15" s="79">
        <f>COUNTIF(F28:F500,"P3")</f>
        <v>11</v>
      </c>
      <c r="K15" s="83" t="s">
        <v>100</v>
      </c>
      <c r="L15" s="79">
        <f>COUNTIF(L28:L500,"Improvement")</f>
        <v>0</v>
      </c>
      <c r="M15" s="98" t="s">
        <v>101</v>
      </c>
      <c r="N15" s="18"/>
    </row>
    <row r="16" ht="19.5" customHeight="1">
      <c r="A16" s="99" t="s">
        <v>102</v>
      </c>
      <c r="B16" s="100">
        <f>COUNTIF(B28:B500,"귀환/정산")</f>
        <v>6</v>
      </c>
      <c r="C16" s="99" t="s">
        <v>103</v>
      </c>
      <c r="D16" s="100">
        <f>COUNTIF(B28:B500,"세타 숲")</f>
        <v>19</v>
      </c>
      <c r="E16" s="99" t="s">
        <v>52</v>
      </c>
      <c r="F16" s="100">
        <f>COUNTIF(E28:E500,"상태전이")</f>
        <v>22</v>
      </c>
      <c r="G16" s="99" t="s">
        <v>104</v>
      </c>
      <c r="H16" s="100">
        <f>COUNTIF(E28:E500,"중복입력")</f>
        <v>1</v>
      </c>
      <c r="I16" s="99" t="s">
        <v>105</v>
      </c>
      <c r="J16" s="100">
        <f>SUM(J13:J15)</f>
        <v>97</v>
      </c>
      <c r="K16" s="101" t="s">
        <v>106</v>
      </c>
      <c r="L16" s="100">
        <f>SUM(L13:L15)</f>
        <v>2</v>
      </c>
      <c r="M16" s="21"/>
      <c r="N16" s="22"/>
    </row>
    <row r="17" ht="15.75" customHeight="1">
      <c r="A17" s="15"/>
      <c r="B17" s="15"/>
      <c r="C17" s="15"/>
      <c r="D17" s="15"/>
      <c r="E17" s="15"/>
      <c r="F17" s="15"/>
      <c r="G17" s="15"/>
      <c r="H17" s="15"/>
      <c r="I17" s="15"/>
      <c r="J17" s="15"/>
      <c r="K17" s="15"/>
      <c r="L17" s="15"/>
      <c r="M17" s="15"/>
      <c r="N17" s="15"/>
    </row>
    <row r="18" ht="25.5" customHeight="1">
      <c r="A18" s="19" t="s">
        <v>107</v>
      </c>
    </row>
    <row r="19" ht="33.75" customHeight="1">
      <c r="A19" s="9" t="s">
        <v>108</v>
      </c>
      <c r="B19" s="11" t="s">
        <v>109</v>
      </c>
      <c r="D19" s="9" t="s">
        <v>110</v>
      </c>
      <c r="E19" s="11" t="s">
        <v>111</v>
      </c>
      <c r="G19" s="9" t="s">
        <v>112</v>
      </c>
      <c r="H19" s="11" t="s">
        <v>113</v>
      </c>
      <c r="J19" s="9" t="s">
        <v>114</v>
      </c>
      <c r="K19" s="11" t="s">
        <v>115</v>
      </c>
    </row>
    <row r="20" ht="33.75" customHeight="1">
      <c r="A20" s="9" t="s">
        <v>81</v>
      </c>
      <c r="B20" s="11" t="s">
        <v>116</v>
      </c>
      <c r="D20" s="9" t="s">
        <v>89</v>
      </c>
      <c r="E20" s="11" t="s">
        <v>118</v>
      </c>
      <c r="G20" s="9" t="s">
        <v>103</v>
      </c>
      <c r="H20" s="11" t="s">
        <v>119</v>
      </c>
      <c r="J20" s="9" t="s">
        <v>120</v>
      </c>
      <c r="K20" s="11" t="s">
        <v>121</v>
      </c>
    </row>
    <row r="21" ht="15.75" customHeight="1">
      <c r="A21" s="15"/>
      <c r="B21" s="15"/>
      <c r="C21" s="15"/>
      <c r="D21" s="15"/>
      <c r="E21" s="15"/>
      <c r="F21" s="15"/>
      <c r="G21" s="15"/>
      <c r="H21" s="15"/>
      <c r="I21" s="15"/>
      <c r="J21" s="15"/>
      <c r="K21" s="15"/>
      <c r="L21" s="15"/>
      <c r="M21" s="15"/>
      <c r="N21" s="15"/>
    </row>
    <row r="22" ht="25.5" customHeight="1">
      <c r="A22" s="19" t="s">
        <v>124</v>
      </c>
    </row>
    <row r="23" ht="30.0" customHeight="1">
      <c r="A23" s="107" t="s">
        <v>125</v>
      </c>
      <c r="B23" s="11" t="s">
        <v>127</v>
      </c>
      <c r="D23" s="107" t="s">
        <v>44</v>
      </c>
      <c r="E23" s="11" t="s">
        <v>46</v>
      </c>
      <c r="G23" s="107" t="s">
        <v>128</v>
      </c>
      <c r="H23" s="11" t="s">
        <v>129</v>
      </c>
      <c r="J23" s="107" t="s">
        <v>10</v>
      </c>
      <c r="K23" s="11" t="s">
        <v>11</v>
      </c>
    </row>
    <row r="24" ht="31.5" customHeight="1">
      <c r="A24" s="107" t="s">
        <v>130</v>
      </c>
      <c r="B24" s="11" t="s">
        <v>131</v>
      </c>
      <c r="E24" s="107" t="s">
        <v>132</v>
      </c>
      <c r="F24" s="11" t="s">
        <v>133</v>
      </c>
      <c r="I24" s="107" t="s">
        <v>134</v>
      </c>
      <c r="J24" s="11" t="s">
        <v>135</v>
      </c>
      <c r="K24" s="107" t="s">
        <v>136</v>
      </c>
      <c r="L24" s="11" t="s">
        <v>137</v>
      </c>
    </row>
    <row r="25" ht="31.5" customHeight="1">
      <c r="A25" s="107" t="s">
        <v>138</v>
      </c>
      <c r="B25" s="11" t="s">
        <v>139</v>
      </c>
      <c r="E25" s="107" t="s">
        <v>140</v>
      </c>
      <c r="F25" s="11" t="s">
        <v>141</v>
      </c>
      <c r="I25" s="107" t="s">
        <v>142</v>
      </c>
      <c r="J25" s="110">
        <v>46248.0</v>
      </c>
      <c r="K25" s="107" t="s">
        <v>143</v>
      </c>
      <c r="L25" s="11" t="s">
        <v>144</v>
      </c>
    </row>
    <row r="26" ht="15.75" customHeight="1">
      <c r="A26" s="15"/>
      <c r="B26" s="15"/>
      <c r="C26" s="15"/>
      <c r="D26" s="15"/>
      <c r="E26" s="15"/>
      <c r="F26" s="15"/>
      <c r="G26" s="15"/>
      <c r="H26" s="15"/>
      <c r="I26" s="15"/>
      <c r="J26" s="15"/>
      <c r="K26" s="15"/>
      <c r="L26" s="15"/>
      <c r="M26" s="15"/>
      <c r="N26" s="15"/>
    </row>
    <row r="27" ht="30.0" customHeight="1">
      <c r="A27" s="113" t="s">
        <v>28</v>
      </c>
      <c r="B27" s="115" t="s">
        <v>146</v>
      </c>
      <c r="C27" s="115" t="s">
        <v>147</v>
      </c>
      <c r="D27" s="115" t="s">
        <v>148</v>
      </c>
      <c r="E27" s="115" t="s">
        <v>149</v>
      </c>
      <c r="F27" s="115" t="s">
        <v>37</v>
      </c>
      <c r="G27" s="115" t="s">
        <v>150</v>
      </c>
      <c r="H27" s="115" t="s">
        <v>151</v>
      </c>
      <c r="I27" s="115" t="s">
        <v>152</v>
      </c>
      <c r="J27" s="115" t="s">
        <v>153</v>
      </c>
      <c r="K27" s="115" t="s">
        <v>31</v>
      </c>
      <c r="L27" s="115" t="s">
        <v>34</v>
      </c>
      <c r="M27" s="115" t="s">
        <v>154</v>
      </c>
      <c r="N27" s="120" t="s">
        <v>155</v>
      </c>
    </row>
    <row r="28" ht="93.75" customHeight="1">
      <c r="A28" s="122" t="s">
        <v>156</v>
      </c>
      <c r="B28" s="123" t="s">
        <v>77</v>
      </c>
      <c r="C28" s="124" t="s">
        <v>157</v>
      </c>
      <c r="D28" s="124" t="s">
        <v>158</v>
      </c>
      <c r="E28" s="127" t="s">
        <v>84</v>
      </c>
      <c r="F28" s="129" t="s">
        <v>85</v>
      </c>
      <c r="G28" s="130" t="s">
        <v>160</v>
      </c>
      <c r="H28" s="130" t="s">
        <v>161</v>
      </c>
      <c r="I28" s="130" t="s">
        <v>162</v>
      </c>
      <c r="J28" s="130" t="s">
        <v>163</v>
      </c>
      <c r="K28" s="131" t="s">
        <v>164</v>
      </c>
      <c r="L28" s="132" t="s">
        <v>165</v>
      </c>
      <c r="M28" s="132" t="s">
        <v>165</v>
      </c>
      <c r="N28" s="134"/>
    </row>
    <row r="29" ht="90.0" customHeight="1">
      <c r="A29" s="136" t="s">
        <v>167</v>
      </c>
      <c r="B29" s="137" t="s">
        <v>77</v>
      </c>
      <c r="C29" s="138" t="s">
        <v>157</v>
      </c>
      <c r="D29" s="138" t="s">
        <v>169</v>
      </c>
      <c r="E29" s="139" t="s">
        <v>52</v>
      </c>
      <c r="F29" s="140" t="s">
        <v>39</v>
      </c>
      <c r="G29" s="141" t="s">
        <v>170</v>
      </c>
      <c r="H29" s="141" t="s">
        <v>171</v>
      </c>
      <c r="I29" s="141" t="s">
        <v>172</v>
      </c>
      <c r="J29" s="141" t="s">
        <v>173</v>
      </c>
      <c r="K29" s="142" t="s">
        <v>164</v>
      </c>
      <c r="L29" s="79" t="s">
        <v>165</v>
      </c>
      <c r="M29" s="79" t="s">
        <v>165</v>
      </c>
      <c r="N29" s="143"/>
    </row>
    <row r="30" ht="90.0" customHeight="1">
      <c r="A30" s="136" t="s">
        <v>174</v>
      </c>
      <c r="B30" s="137" t="s">
        <v>77</v>
      </c>
      <c r="C30" s="138" t="s">
        <v>175</v>
      </c>
      <c r="D30" s="138" t="s">
        <v>176</v>
      </c>
      <c r="E30" s="139" t="s">
        <v>84</v>
      </c>
      <c r="F30" s="140" t="s">
        <v>39</v>
      </c>
      <c r="G30" s="141" t="s">
        <v>177</v>
      </c>
      <c r="H30" s="141" t="s">
        <v>178</v>
      </c>
      <c r="I30" s="141" t="s">
        <v>179</v>
      </c>
      <c r="J30" s="141" t="s">
        <v>180</v>
      </c>
      <c r="K30" s="142" t="s">
        <v>164</v>
      </c>
      <c r="L30" s="79" t="s">
        <v>165</v>
      </c>
      <c r="M30" s="79" t="s">
        <v>165</v>
      </c>
      <c r="N30" s="143"/>
    </row>
    <row r="31" ht="102.0" customHeight="1">
      <c r="A31" s="136" t="s">
        <v>181</v>
      </c>
      <c r="B31" s="137" t="s">
        <v>77</v>
      </c>
      <c r="C31" s="138" t="s">
        <v>182</v>
      </c>
      <c r="D31" s="138" t="s">
        <v>183</v>
      </c>
      <c r="E31" s="139" t="s">
        <v>52</v>
      </c>
      <c r="F31" s="140" t="s">
        <v>39</v>
      </c>
      <c r="G31" s="141" t="s">
        <v>184</v>
      </c>
      <c r="H31" s="141" t="s">
        <v>185</v>
      </c>
      <c r="I31" s="141" t="s">
        <v>186</v>
      </c>
      <c r="J31" s="141" t="s">
        <v>187</v>
      </c>
      <c r="K31" s="142" t="s">
        <v>164</v>
      </c>
      <c r="L31" s="79" t="s">
        <v>165</v>
      </c>
      <c r="M31" s="79" t="s">
        <v>165</v>
      </c>
      <c r="N31" s="143"/>
    </row>
    <row r="32" ht="90.0" customHeight="1">
      <c r="A32" s="136" t="s">
        <v>189</v>
      </c>
      <c r="B32" s="137" t="s">
        <v>77</v>
      </c>
      <c r="C32" s="138" t="s">
        <v>190</v>
      </c>
      <c r="D32" s="138" t="s">
        <v>191</v>
      </c>
      <c r="E32" s="139" t="s">
        <v>52</v>
      </c>
      <c r="F32" s="145" t="s">
        <v>99</v>
      </c>
      <c r="G32" s="141" t="s">
        <v>192</v>
      </c>
      <c r="H32" s="141" t="s">
        <v>193</v>
      </c>
      <c r="I32" s="141" t="s">
        <v>194</v>
      </c>
      <c r="J32" s="141" t="s">
        <v>195</v>
      </c>
      <c r="K32" s="142" t="s">
        <v>164</v>
      </c>
      <c r="L32" s="79" t="s">
        <v>165</v>
      </c>
      <c r="M32" s="79" t="s">
        <v>165</v>
      </c>
      <c r="N32" s="143"/>
    </row>
    <row r="33" ht="105.0" customHeight="1">
      <c r="A33" s="122" t="s">
        <v>196</v>
      </c>
      <c r="B33" s="123" t="s">
        <v>88</v>
      </c>
      <c r="C33" s="124" t="s">
        <v>197</v>
      </c>
      <c r="D33" s="124" t="s">
        <v>198</v>
      </c>
      <c r="E33" s="127" t="s">
        <v>52</v>
      </c>
      <c r="F33" s="129" t="s">
        <v>85</v>
      </c>
      <c r="G33" s="130" t="s">
        <v>200</v>
      </c>
      <c r="H33" s="130" t="s">
        <v>201</v>
      </c>
      <c r="I33" s="130" t="s">
        <v>202</v>
      </c>
      <c r="J33" s="130" t="s">
        <v>203</v>
      </c>
      <c r="K33" s="131" t="s">
        <v>164</v>
      </c>
      <c r="L33" s="132" t="s">
        <v>165</v>
      </c>
      <c r="M33" s="132" t="s">
        <v>165</v>
      </c>
      <c r="N33" s="134"/>
    </row>
    <row r="34" ht="90.0" customHeight="1">
      <c r="A34" s="136" t="s">
        <v>204</v>
      </c>
      <c r="B34" s="137" t="s">
        <v>88</v>
      </c>
      <c r="C34" s="138" t="s">
        <v>205</v>
      </c>
      <c r="D34" s="138" t="s">
        <v>206</v>
      </c>
      <c r="E34" s="139" t="s">
        <v>84</v>
      </c>
      <c r="F34" s="145" t="s">
        <v>99</v>
      </c>
      <c r="G34" s="141" t="s">
        <v>208</v>
      </c>
      <c r="H34" s="141" t="s">
        <v>209</v>
      </c>
      <c r="I34" s="141" t="s">
        <v>210</v>
      </c>
      <c r="J34" s="141" t="s">
        <v>211</v>
      </c>
      <c r="K34" s="142" t="s">
        <v>164</v>
      </c>
      <c r="L34" s="79" t="s">
        <v>165</v>
      </c>
      <c r="M34" s="79" t="s">
        <v>165</v>
      </c>
      <c r="N34" s="143"/>
    </row>
    <row r="35" ht="90.0" customHeight="1">
      <c r="A35" s="136" t="s">
        <v>213</v>
      </c>
      <c r="B35" s="137" t="s">
        <v>88</v>
      </c>
      <c r="C35" s="138" t="s">
        <v>214</v>
      </c>
      <c r="D35" s="138" t="s">
        <v>215</v>
      </c>
      <c r="E35" s="139" t="s">
        <v>84</v>
      </c>
      <c r="F35" s="146" t="s">
        <v>85</v>
      </c>
      <c r="G35" s="141" t="s">
        <v>216</v>
      </c>
      <c r="H35" s="141" t="s">
        <v>217</v>
      </c>
      <c r="I35" s="141" t="s">
        <v>218</v>
      </c>
      <c r="J35" s="141" t="s">
        <v>219</v>
      </c>
      <c r="K35" s="142" t="s">
        <v>164</v>
      </c>
      <c r="L35" s="79" t="s">
        <v>165</v>
      </c>
      <c r="M35" s="79" t="s">
        <v>165</v>
      </c>
      <c r="N35" s="143"/>
    </row>
    <row r="36" ht="90.0" customHeight="1">
      <c r="A36" s="136" t="s">
        <v>220</v>
      </c>
      <c r="B36" s="137" t="s">
        <v>88</v>
      </c>
      <c r="C36" s="138" t="s">
        <v>214</v>
      </c>
      <c r="D36" s="138" t="s">
        <v>221</v>
      </c>
      <c r="E36" s="139" t="s">
        <v>84</v>
      </c>
      <c r="F36" s="146" t="s">
        <v>85</v>
      </c>
      <c r="G36" s="141" t="s">
        <v>222</v>
      </c>
      <c r="H36" s="141" t="s">
        <v>223</v>
      </c>
      <c r="I36" s="141" t="s">
        <v>224</v>
      </c>
      <c r="J36" s="141" t="s">
        <v>225</v>
      </c>
      <c r="K36" s="142" t="s">
        <v>164</v>
      </c>
      <c r="L36" s="79" t="s">
        <v>165</v>
      </c>
      <c r="M36" s="79" t="s">
        <v>165</v>
      </c>
      <c r="N36" s="143"/>
    </row>
    <row r="37" ht="90.0" customHeight="1">
      <c r="A37" s="136" t="s">
        <v>226</v>
      </c>
      <c r="B37" s="137" t="s">
        <v>88</v>
      </c>
      <c r="C37" s="138" t="s">
        <v>214</v>
      </c>
      <c r="D37" s="138" t="s">
        <v>227</v>
      </c>
      <c r="E37" s="139" t="s">
        <v>97</v>
      </c>
      <c r="F37" s="140" t="s">
        <v>39</v>
      </c>
      <c r="G37" s="141" t="s">
        <v>228</v>
      </c>
      <c r="H37" s="141" t="s">
        <v>229</v>
      </c>
      <c r="I37" s="141" t="s">
        <v>230</v>
      </c>
      <c r="J37" s="141" t="s">
        <v>231</v>
      </c>
      <c r="K37" s="142" t="s">
        <v>164</v>
      </c>
      <c r="L37" s="79" t="s">
        <v>165</v>
      </c>
      <c r="M37" s="79" t="s">
        <v>165</v>
      </c>
      <c r="N37" s="143"/>
    </row>
    <row r="38" ht="100.5" customHeight="1">
      <c r="A38" s="136" t="s">
        <v>232</v>
      </c>
      <c r="B38" s="137" t="s">
        <v>88</v>
      </c>
      <c r="C38" s="138" t="s">
        <v>214</v>
      </c>
      <c r="D38" s="138" t="s">
        <v>233</v>
      </c>
      <c r="E38" s="139" t="s">
        <v>97</v>
      </c>
      <c r="F38" s="146" t="s">
        <v>85</v>
      </c>
      <c r="G38" s="141" t="s">
        <v>234</v>
      </c>
      <c r="H38" s="141" t="s">
        <v>235</v>
      </c>
      <c r="I38" s="141" t="s">
        <v>236</v>
      </c>
      <c r="J38" s="141" t="s">
        <v>237</v>
      </c>
      <c r="K38" s="142" t="s">
        <v>164</v>
      </c>
      <c r="L38" s="79" t="s">
        <v>165</v>
      </c>
      <c r="M38" s="79" t="s">
        <v>165</v>
      </c>
      <c r="N38" s="143" t="s">
        <v>238</v>
      </c>
    </row>
    <row r="39" ht="90.0" customHeight="1">
      <c r="A39" s="136" t="s">
        <v>239</v>
      </c>
      <c r="B39" s="137" t="s">
        <v>88</v>
      </c>
      <c r="C39" s="138" t="s">
        <v>240</v>
      </c>
      <c r="D39" s="138" t="s">
        <v>241</v>
      </c>
      <c r="E39" s="139" t="s">
        <v>84</v>
      </c>
      <c r="F39" s="146" t="s">
        <v>85</v>
      </c>
      <c r="G39" s="141" t="s">
        <v>242</v>
      </c>
      <c r="H39" s="141" t="s">
        <v>243</v>
      </c>
      <c r="I39" s="141" t="s">
        <v>245</v>
      </c>
      <c r="J39" s="141" t="s">
        <v>246</v>
      </c>
      <c r="K39" s="142" t="s">
        <v>164</v>
      </c>
      <c r="L39" s="79" t="s">
        <v>165</v>
      </c>
      <c r="M39" s="79" t="s">
        <v>165</v>
      </c>
      <c r="N39" s="143"/>
    </row>
    <row r="40" ht="135.0" customHeight="1">
      <c r="A40" s="136" t="s">
        <v>247</v>
      </c>
      <c r="B40" s="137" t="s">
        <v>88</v>
      </c>
      <c r="C40" s="138" t="s">
        <v>240</v>
      </c>
      <c r="D40" s="138" t="s">
        <v>248</v>
      </c>
      <c r="E40" s="139" t="s">
        <v>97</v>
      </c>
      <c r="F40" s="140" t="s">
        <v>39</v>
      </c>
      <c r="G40" s="141" t="s">
        <v>249</v>
      </c>
      <c r="H40" s="141" t="s">
        <v>250</v>
      </c>
      <c r="I40" s="141" t="s">
        <v>251</v>
      </c>
      <c r="J40" s="141" t="s">
        <v>252</v>
      </c>
      <c r="K40" s="142" t="s">
        <v>164</v>
      </c>
      <c r="L40" s="79" t="s">
        <v>165</v>
      </c>
      <c r="M40" s="79" t="s">
        <v>165</v>
      </c>
      <c r="N40" s="143" t="s">
        <v>253</v>
      </c>
    </row>
    <row r="41" ht="97.5" customHeight="1">
      <c r="A41" s="136" t="s">
        <v>254</v>
      </c>
      <c r="B41" s="137" t="s">
        <v>88</v>
      </c>
      <c r="C41" s="138" t="s">
        <v>240</v>
      </c>
      <c r="D41" s="138" t="s">
        <v>255</v>
      </c>
      <c r="E41" s="139" t="s">
        <v>52</v>
      </c>
      <c r="F41" s="140" t="s">
        <v>39</v>
      </c>
      <c r="G41" s="141" t="s">
        <v>256</v>
      </c>
      <c r="H41" s="141" t="s">
        <v>257</v>
      </c>
      <c r="I41" s="141" t="s">
        <v>258</v>
      </c>
      <c r="J41" s="141" t="s">
        <v>259</v>
      </c>
      <c r="K41" s="142" t="s">
        <v>164</v>
      </c>
      <c r="L41" s="79" t="s">
        <v>165</v>
      </c>
      <c r="M41" s="79" t="s">
        <v>165</v>
      </c>
      <c r="N41" s="143"/>
    </row>
    <row r="42" ht="116.25" customHeight="1">
      <c r="A42" s="136" t="s">
        <v>260</v>
      </c>
      <c r="B42" s="137" t="s">
        <v>88</v>
      </c>
      <c r="C42" s="138" t="s">
        <v>240</v>
      </c>
      <c r="D42" s="138" t="s">
        <v>261</v>
      </c>
      <c r="E42" s="139" t="s">
        <v>52</v>
      </c>
      <c r="F42" s="140" t="s">
        <v>39</v>
      </c>
      <c r="G42" s="141" t="s">
        <v>262</v>
      </c>
      <c r="H42" s="141" t="s">
        <v>263</v>
      </c>
      <c r="I42" s="141" t="s">
        <v>264</v>
      </c>
      <c r="J42" s="141" t="s">
        <v>265</v>
      </c>
      <c r="K42" s="142" t="s">
        <v>164</v>
      </c>
      <c r="L42" s="79" t="s">
        <v>165</v>
      </c>
      <c r="M42" s="79" t="s">
        <v>165</v>
      </c>
      <c r="N42" s="143"/>
    </row>
    <row r="43" ht="101.25" customHeight="1">
      <c r="A43" s="136" t="s">
        <v>266</v>
      </c>
      <c r="B43" s="137" t="s">
        <v>88</v>
      </c>
      <c r="C43" s="138" t="s">
        <v>240</v>
      </c>
      <c r="D43" s="138" t="s">
        <v>267</v>
      </c>
      <c r="E43" s="139" t="s">
        <v>97</v>
      </c>
      <c r="F43" s="140" t="s">
        <v>39</v>
      </c>
      <c r="G43" s="141" t="s">
        <v>268</v>
      </c>
      <c r="H43" s="141" t="s">
        <v>269</v>
      </c>
      <c r="I43" s="141" t="s">
        <v>270</v>
      </c>
      <c r="J43" s="141" t="s">
        <v>271</v>
      </c>
      <c r="K43" s="142" t="s">
        <v>164</v>
      </c>
      <c r="L43" s="79" t="s">
        <v>165</v>
      </c>
      <c r="M43" s="79" t="s">
        <v>165</v>
      </c>
      <c r="N43" s="143" t="s">
        <v>272</v>
      </c>
    </row>
    <row r="44" ht="90.0" customHeight="1">
      <c r="A44" s="136" t="s">
        <v>273</v>
      </c>
      <c r="B44" s="137" t="s">
        <v>88</v>
      </c>
      <c r="C44" s="138" t="s">
        <v>240</v>
      </c>
      <c r="D44" s="138" t="s">
        <v>274</v>
      </c>
      <c r="E44" s="139" t="s">
        <v>97</v>
      </c>
      <c r="F44" s="146" t="s">
        <v>85</v>
      </c>
      <c r="G44" s="141" t="s">
        <v>275</v>
      </c>
      <c r="H44" s="141" t="s">
        <v>276</v>
      </c>
      <c r="I44" s="141" t="s">
        <v>277</v>
      </c>
      <c r="J44" s="141" t="s">
        <v>278</v>
      </c>
      <c r="K44" s="142" t="s">
        <v>164</v>
      </c>
      <c r="L44" s="79" t="s">
        <v>165</v>
      </c>
      <c r="M44" s="79" t="s">
        <v>165</v>
      </c>
      <c r="N44" s="143"/>
    </row>
    <row r="45" ht="90.0" customHeight="1">
      <c r="A45" s="136" t="s">
        <v>279</v>
      </c>
      <c r="B45" s="137" t="s">
        <v>88</v>
      </c>
      <c r="C45" s="138" t="s">
        <v>240</v>
      </c>
      <c r="D45" s="138" t="s">
        <v>280</v>
      </c>
      <c r="E45" s="139" t="s">
        <v>52</v>
      </c>
      <c r="F45" s="140" t="s">
        <v>39</v>
      </c>
      <c r="G45" s="141" t="s">
        <v>281</v>
      </c>
      <c r="H45" s="141" t="s">
        <v>282</v>
      </c>
      <c r="I45" s="141" t="s">
        <v>283</v>
      </c>
      <c r="J45" s="141" t="s">
        <v>284</v>
      </c>
      <c r="K45" s="142" t="s">
        <v>164</v>
      </c>
      <c r="L45" s="79" t="s">
        <v>165</v>
      </c>
      <c r="M45" s="79" t="s">
        <v>165</v>
      </c>
      <c r="N45" s="143"/>
    </row>
    <row r="46" ht="114.75" customHeight="1">
      <c r="A46" s="136" t="s">
        <v>285</v>
      </c>
      <c r="B46" s="137" t="s">
        <v>88</v>
      </c>
      <c r="C46" s="138" t="s">
        <v>240</v>
      </c>
      <c r="D46" s="138" t="s">
        <v>286</v>
      </c>
      <c r="E46" s="139" t="s">
        <v>52</v>
      </c>
      <c r="F46" s="140" t="s">
        <v>39</v>
      </c>
      <c r="G46" s="141" t="s">
        <v>287</v>
      </c>
      <c r="H46" s="141" t="s">
        <v>288</v>
      </c>
      <c r="I46" s="141" t="s">
        <v>289</v>
      </c>
      <c r="J46" s="141" t="s">
        <v>290</v>
      </c>
      <c r="K46" s="142" t="s">
        <v>164</v>
      </c>
      <c r="L46" s="79" t="s">
        <v>165</v>
      </c>
      <c r="M46" s="79" t="s">
        <v>165</v>
      </c>
      <c r="N46" s="143"/>
    </row>
    <row r="47" ht="90.0" customHeight="1">
      <c r="A47" s="136" t="s">
        <v>292</v>
      </c>
      <c r="B47" s="137" t="s">
        <v>88</v>
      </c>
      <c r="C47" s="138" t="s">
        <v>240</v>
      </c>
      <c r="D47" s="138" t="s">
        <v>293</v>
      </c>
      <c r="E47" s="139" t="s">
        <v>91</v>
      </c>
      <c r="F47" s="140" t="s">
        <v>39</v>
      </c>
      <c r="G47" s="141" t="s">
        <v>294</v>
      </c>
      <c r="H47" s="141" t="s">
        <v>296</v>
      </c>
      <c r="I47" s="141" t="s">
        <v>297</v>
      </c>
      <c r="J47" s="141" t="s">
        <v>298</v>
      </c>
      <c r="K47" s="142" t="s">
        <v>164</v>
      </c>
      <c r="L47" s="79" t="s">
        <v>165</v>
      </c>
      <c r="M47" s="79" t="s">
        <v>165</v>
      </c>
      <c r="N47" s="143"/>
    </row>
    <row r="48" ht="90.0" customHeight="1">
      <c r="A48" s="136" t="s">
        <v>300</v>
      </c>
      <c r="B48" s="137" t="s">
        <v>88</v>
      </c>
      <c r="C48" s="138" t="s">
        <v>301</v>
      </c>
      <c r="D48" s="138" t="s">
        <v>302</v>
      </c>
      <c r="E48" s="139" t="s">
        <v>84</v>
      </c>
      <c r="F48" s="145" t="s">
        <v>99</v>
      </c>
      <c r="G48" s="141" t="s">
        <v>304</v>
      </c>
      <c r="H48" s="141" t="s">
        <v>305</v>
      </c>
      <c r="I48" s="141" t="s">
        <v>306</v>
      </c>
      <c r="J48" s="141" t="s">
        <v>307</v>
      </c>
      <c r="K48" s="142" t="s">
        <v>164</v>
      </c>
      <c r="L48" s="79" t="s">
        <v>165</v>
      </c>
      <c r="M48" s="79" t="s">
        <v>165</v>
      </c>
      <c r="N48" s="143"/>
    </row>
    <row r="49" ht="90.0" customHeight="1">
      <c r="A49" s="136" t="s">
        <v>308</v>
      </c>
      <c r="B49" s="137" t="s">
        <v>88</v>
      </c>
      <c r="C49" s="138" t="s">
        <v>309</v>
      </c>
      <c r="D49" s="138" t="s">
        <v>310</v>
      </c>
      <c r="E49" s="139" t="s">
        <v>52</v>
      </c>
      <c r="F49" s="146" t="s">
        <v>85</v>
      </c>
      <c r="G49" s="141" t="s">
        <v>311</v>
      </c>
      <c r="H49" s="141" t="s">
        <v>312</v>
      </c>
      <c r="I49" s="141" t="s">
        <v>313</v>
      </c>
      <c r="J49" s="141" t="s">
        <v>314</v>
      </c>
      <c r="K49" s="142" t="s">
        <v>164</v>
      </c>
      <c r="L49" s="79" t="s">
        <v>165</v>
      </c>
      <c r="M49" s="79" t="s">
        <v>165</v>
      </c>
      <c r="N49" s="143"/>
    </row>
    <row r="50" ht="90.0" customHeight="1">
      <c r="A50" s="147" t="s">
        <v>315</v>
      </c>
      <c r="B50" s="148" t="s">
        <v>95</v>
      </c>
      <c r="C50" s="150" t="s">
        <v>110</v>
      </c>
      <c r="D50" s="150" t="s">
        <v>316</v>
      </c>
      <c r="E50" s="151" t="s">
        <v>84</v>
      </c>
      <c r="F50" s="152" t="s">
        <v>99</v>
      </c>
      <c r="G50" s="154" t="s">
        <v>317</v>
      </c>
      <c r="H50" s="154" t="s">
        <v>318</v>
      </c>
      <c r="I50" s="154" t="s">
        <v>319</v>
      </c>
      <c r="J50" s="154" t="s">
        <v>320</v>
      </c>
      <c r="K50" s="157" t="s">
        <v>164</v>
      </c>
      <c r="L50" s="158" t="s">
        <v>165</v>
      </c>
      <c r="M50" s="158" t="s">
        <v>165</v>
      </c>
      <c r="N50" s="159"/>
    </row>
    <row r="51" ht="90.0" customHeight="1">
      <c r="A51" s="136" t="s">
        <v>321</v>
      </c>
      <c r="B51" s="137" t="s">
        <v>95</v>
      </c>
      <c r="C51" s="138" t="s">
        <v>110</v>
      </c>
      <c r="D51" s="138" t="s">
        <v>322</v>
      </c>
      <c r="E51" s="139" t="s">
        <v>84</v>
      </c>
      <c r="F51" s="140" t="s">
        <v>39</v>
      </c>
      <c r="G51" s="141" t="s">
        <v>323</v>
      </c>
      <c r="H51" s="141" t="s">
        <v>324</v>
      </c>
      <c r="I51" s="141" t="s">
        <v>325</v>
      </c>
      <c r="J51" s="141" t="s">
        <v>326</v>
      </c>
      <c r="K51" s="142" t="s">
        <v>164</v>
      </c>
      <c r="L51" s="79" t="s">
        <v>165</v>
      </c>
      <c r="M51" s="79" t="s">
        <v>165</v>
      </c>
      <c r="N51" s="143"/>
    </row>
    <row r="52" ht="120.75" customHeight="1">
      <c r="A52" s="136" t="s">
        <v>29</v>
      </c>
      <c r="B52" s="137" t="s">
        <v>95</v>
      </c>
      <c r="C52" s="138" t="s">
        <v>110</v>
      </c>
      <c r="D52" s="138" t="s">
        <v>327</v>
      </c>
      <c r="E52" s="139" t="s">
        <v>90</v>
      </c>
      <c r="F52" s="140" t="s">
        <v>39</v>
      </c>
      <c r="G52" s="141" t="s">
        <v>328</v>
      </c>
      <c r="H52" s="141" t="s">
        <v>329</v>
      </c>
      <c r="I52" s="141" t="s">
        <v>330</v>
      </c>
      <c r="J52" s="141" t="s">
        <v>331</v>
      </c>
      <c r="K52" s="142" t="s">
        <v>32</v>
      </c>
      <c r="L52" s="79" t="s">
        <v>35</v>
      </c>
      <c r="M52" s="79" t="s">
        <v>332</v>
      </c>
      <c r="N52" s="143" t="s">
        <v>333</v>
      </c>
    </row>
    <row r="53" ht="93.75" customHeight="1">
      <c r="A53" s="136" t="s">
        <v>93</v>
      </c>
      <c r="B53" s="137" t="s">
        <v>95</v>
      </c>
      <c r="C53" s="138" t="s">
        <v>334</v>
      </c>
      <c r="D53" s="138" t="s">
        <v>335</v>
      </c>
      <c r="E53" s="139" t="s">
        <v>90</v>
      </c>
      <c r="F53" s="140" t="s">
        <v>39</v>
      </c>
      <c r="G53" s="141" t="s">
        <v>336</v>
      </c>
      <c r="H53" s="141" t="s">
        <v>337</v>
      </c>
      <c r="I53" s="141" t="s">
        <v>338</v>
      </c>
      <c r="J53" s="141" t="s">
        <v>339</v>
      </c>
      <c r="K53" s="142" t="s">
        <v>32</v>
      </c>
      <c r="L53" s="79" t="s">
        <v>35</v>
      </c>
      <c r="M53" s="79" t="s">
        <v>332</v>
      </c>
      <c r="N53" s="143" t="s">
        <v>340</v>
      </c>
    </row>
    <row r="54" ht="90.0" customHeight="1">
      <c r="A54" s="136" t="s">
        <v>341</v>
      </c>
      <c r="B54" s="137" t="s">
        <v>95</v>
      </c>
      <c r="C54" s="138" t="s">
        <v>342</v>
      </c>
      <c r="D54" s="138" t="s">
        <v>343</v>
      </c>
      <c r="E54" s="139" t="s">
        <v>91</v>
      </c>
      <c r="F54" s="140" t="s">
        <v>39</v>
      </c>
      <c r="G54" s="141" t="s">
        <v>344</v>
      </c>
      <c r="H54" s="141" t="s">
        <v>345</v>
      </c>
      <c r="I54" s="141" t="s">
        <v>346</v>
      </c>
      <c r="J54" s="141" t="s">
        <v>347</v>
      </c>
      <c r="K54" s="142" t="s">
        <v>164</v>
      </c>
      <c r="L54" s="79" t="s">
        <v>165</v>
      </c>
      <c r="M54" s="79" t="s">
        <v>165</v>
      </c>
      <c r="N54" s="143"/>
    </row>
    <row r="55" ht="90.0" customHeight="1">
      <c r="A55" s="136" t="s">
        <v>348</v>
      </c>
      <c r="B55" s="137" t="s">
        <v>95</v>
      </c>
      <c r="C55" s="138" t="s">
        <v>349</v>
      </c>
      <c r="D55" s="138" t="s">
        <v>350</v>
      </c>
      <c r="E55" s="139" t="s">
        <v>52</v>
      </c>
      <c r="F55" s="146" t="s">
        <v>39</v>
      </c>
      <c r="G55" s="141" t="s">
        <v>351</v>
      </c>
      <c r="H55" s="141" t="s">
        <v>352</v>
      </c>
      <c r="I55" s="141" t="s">
        <v>353</v>
      </c>
      <c r="J55" s="141" t="s">
        <v>354</v>
      </c>
      <c r="K55" s="142" t="s">
        <v>164</v>
      </c>
      <c r="L55" s="79" t="s">
        <v>165</v>
      </c>
      <c r="M55" s="79" t="s">
        <v>165</v>
      </c>
      <c r="N55" s="143"/>
    </row>
    <row r="56" ht="90.0" customHeight="1">
      <c r="A56" s="136" t="s">
        <v>355</v>
      </c>
      <c r="B56" s="137" t="s">
        <v>95</v>
      </c>
      <c r="C56" s="138" t="s">
        <v>356</v>
      </c>
      <c r="D56" s="138" t="s">
        <v>357</v>
      </c>
      <c r="E56" s="139" t="s">
        <v>84</v>
      </c>
      <c r="F56" s="146" t="s">
        <v>39</v>
      </c>
      <c r="G56" s="141" t="s">
        <v>358</v>
      </c>
      <c r="H56" s="141" t="s">
        <v>359</v>
      </c>
      <c r="I56" s="141" t="s">
        <v>360</v>
      </c>
      <c r="J56" s="141" t="s">
        <v>361</v>
      </c>
      <c r="K56" s="142" t="s">
        <v>164</v>
      </c>
      <c r="L56" s="79" t="s">
        <v>165</v>
      </c>
      <c r="M56" s="79" t="s">
        <v>165</v>
      </c>
      <c r="N56" s="143"/>
    </row>
    <row r="57" ht="90.0" customHeight="1">
      <c r="A57" s="136" t="s">
        <v>362</v>
      </c>
      <c r="B57" s="137" t="s">
        <v>95</v>
      </c>
      <c r="C57" s="138" t="s">
        <v>363</v>
      </c>
      <c r="D57" s="138" t="s">
        <v>364</v>
      </c>
      <c r="E57" s="139" t="s">
        <v>84</v>
      </c>
      <c r="F57" s="140" t="s">
        <v>85</v>
      </c>
      <c r="G57" s="141" t="s">
        <v>365</v>
      </c>
      <c r="H57" s="141" t="s">
        <v>366</v>
      </c>
      <c r="I57" s="141" t="s">
        <v>367</v>
      </c>
      <c r="J57" s="141" t="s">
        <v>368</v>
      </c>
      <c r="K57" s="142" t="s">
        <v>164</v>
      </c>
      <c r="L57" s="79" t="s">
        <v>165</v>
      </c>
      <c r="M57" s="79" t="s">
        <v>165</v>
      </c>
      <c r="N57" s="143"/>
    </row>
    <row r="58" ht="90.0" customHeight="1">
      <c r="A58" s="136" t="s">
        <v>369</v>
      </c>
      <c r="B58" s="137" t="s">
        <v>95</v>
      </c>
      <c r="C58" s="138" t="s">
        <v>363</v>
      </c>
      <c r="D58" s="138" t="s">
        <v>370</v>
      </c>
      <c r="E58" s="139" t="s">
        <v>84</v>
      </c>
      <c r="F58" s="146" t="s">
        <v>85</v>
      </c>
      <c r="G58" s="141" t="s">
        <v>371</v>
      </c>
      <c r="H58" s="141" t="s">
        <v>372</v>
      </c>
      <c r="I58" s="141" t="s">
        <v>373</v>
      </c>
      <c r="J58" s="141" t="s">
        <v>374</v>
      </c>
      <c r="K58" s="142" t="s">
        <v>164</v>
      </c>
      <c r="L58" s="79" t="s">
        <v>165</v>
      </c>
      <c r="M58" s="79" t="s">
        <v>165</v>
      </c>
      <c r="N58" s="143"/>
    </row>
    <row r="59" ht="90.0" customHeight="1">
      <c r="A59" s="136" t="s">
        <v>375</v>
      </c>
      <c r="B59" s="137" t="s">
        <v>95</v>
      </c>
      <c r="C59" s="138" t="s">
        <v>363</v>
      </c>
      <c r="D59" s="138" t="s">
        <v>376</v>
      </c>
      <c r="E59" s="139" t="s">
        <v>84</v>
      </c>
      <c r="F59" s="146" t="s">
        <v>39</v>
      </c>
      <c r="G59" s="141" t="s">
        <v>377</v>
      </c>
      <c r="H59" s="141" t="s">
        <v>378</v>
      </c>
      <c r="I59" s="141" t="s">
        <v>379</v>
      </c>
      <c r="J59" s="141" t="s">
        <v>380</v>
      </c>
      <c r="K59" s="142" t="s">
        <v>164</v>
      </c>
      <c r="L59" s="79" t="s">
        <v>165</v>
      </c>
      <c r="M59" s="79" t="s">
        <v>165</v>
      </c>
      <c r="N59" s="143"/>
    </row>
    <row r="60" ht="90.0" customHeight="1">
      <c r="A60" s="161" t="s">
        <v>381</v>
      </c>
      <c r="B60" s="162" t="s">
        <v>95</v>
      </c>
      <c r="C60" s="163" t="s">
        <v>363</v>
      </c>
      <c r="D60" s="163" t="s">
        <v>382</v>
      </c>
      <c r="E60" s="164" t="s">
        <v>84</v>
      </c>
      <c r="F60" s="165" t="s">
        <v>85</v>
      </c>
      <c r="G60" s="166" t="s">
        <v>383</v>
      </c>
      <c r="H60" s="166" t="s">
        <v>384</v>
      </c>
      <c r="I60" s="166" t="s">
        <v>385</v>
      </c>
      <c r="J60" s="166" t="s">
        <v>386</v>
      </c>
      <c r="K60" s="167" t="s">
        <v>164</v>
      </c>
      <c r="L60" s="168" t="s">
        <v>165</v>
      </c>
      <c r="M60" s="168" t="s">
        <v>165</v>
      </c>
      <c r="N60" s="169"/>
    </row>
    <row r="61" ht="90.0" customHeight="1">
      <c r="A61" s="136" t="s">
        <v>387</v>
      </c>
      <c r="B61" s="137" t="s">
        <v>95</v>
      </c>
      <c r="C61" s="138" t="s">
        <v>363</v>
      </c>
      <c r="D61" s="138" t="s">
        <v>388</v>
      </c>
      <c r="E61" s="139" t="s">
        <v>84</v>
      </c>
      <c r="F61" s="146" t="s">
        <v>85</v>
      </c>
      <c r="G61" s="141" t="s">
        <v>389</v>
      </c>
      <c r="H61" s="141" t="s">
        <v>390</v>
      </c>
      <c r="I61" s="141" t="s">
        <v>391</v>
      </c>
      <c r="J61" s="141" t="s">
        <v>392</v>
      </c>
      <c r="K61" s="142" t="s">
        <v>164</v>
      </c>
      <c r="L61" s="79" t="s">
        <v>165</v>
      </c>
      <c r="M61" s="79" t="s">
        <v>165</v>
      </c>
      <c r="N61" s="143"/>
    </row>
    <row r="62" ht="90.0" customHeight="1">
      <c r="A62" s="136" t="s">
        <v>393</v>
      </c>
      <c r="B62" s="137" t="s">
        <v>102</v>
      </c>
      <c r="C62" s="138" t="s">
        <v>394</v>
      </c>
      <c r="D62" s="138" t="s">
        <v>395</v>
      </c>
      <c r="E62" s="139" t="s">
        <v>84</v>
      </c>
      <c r="F62" s="146" t="s">
        <v>99</v>
      </c>
      <c r="G62" s="141" t="s">
        <v>396</v>
      </c>
      <c r="H62" s="141" t="s">
        <v>397</v>
      </c>
      <c r="I62" s="141" t="s">
        <v>398</v>
      </c>
      <c r="J62" s="141" t="s">
        <v>399</v>
      </c>
      <c r="K62" s="142" t="s">
        <v>164</v>
      </c>
      <c r="L62" s="79" t="s">
        <v>165</v>
      </c>
      <c r="M62" s="79" t="s">
        <v>165</v>
      </c>
      <c r="N62" s="143"/>
    </row>
    <row r="63" ht="90.0" customHeight="1">
      <c r="A63" s="136" t="s">
        <v>400</v>
      </c>
      <c r="B63" s="137" t="s">
        <v>102</v>
      </c>
      <c r="C63" s="138" t="s">
        <v>394</v>
      </c>
      <c r="D63" s="138" t="s">
        <v>401</v>
      </c>
      <c r="E63" s="139" t="s">
        <v>84</v>
      </c>
      <c r="F63" s="146" t="s">
        <v>85</v>
      </c>
      <c r="G63" s="141" t="s">
        <v>402</v>
      </c>
      <c r="H63" s="141" t="s">
        <v>403</v>
      </c>
      <c r="I63" s="141" t="s">
        <v>404</v>
      </c>
      <c r="J63" s="141" t="s">
        <v>405</v>
      </c>
      <c r="K63" s="142" t="s">
        <v>164</v>
      </c>
      <c r="L63" s="79" t="s">
        <v>165</v>
      </c>
      <c r="M63" s="79" t="s">
        <v>165</v>
      </c>
      <c r="N63" s="143"/>
    </row>
    <row r="64" ht="90.0" customHeight="1">
      <c r="A64" s="136" t="s">
        <v>406</v>
      </c>
      <c r="B64" s="137" t="s">
        <v>102</v>
      </c>
      <c r="C64" s="138" t="s">
        <v>394</v>
      </c>
      <c r="D64" s="138" t="s">
        <v>407</v>
      </c>
      <c r="E64" s="139" t="s">
        <v>84</v>
      </c>
      <c r="F64" s="146" t="s">
        <v>85</v>
      </c>
      <c r="G64" s="141" t="s">
        <v>408</v>
      </c>
      <c r="H64" s="141" t="s">
        <v>409</v>
      </c>
      <c r="I64" s="141" t="s">
        <v>410</v>
      </c>
      <c r="J64" s="141" t="s">
        <v>411</v>
      </c>
      <c r="K64" s="142" t="s">
        <v>164</v>
      </c>
      <c r="L64" s="79" t="s">
        <v>165</v>
      </c>
      <c r="M64" s="79" t="s">
        <v>165</v>
      </c>
      <c r="N64" s="143"/>
    </row>
    <row r="65" ht="90.0" customHeight="1">
      <c r="A65" s="136" t="s">
        <v>412</v>
      </c>
      <c r="B65" s="137" t="s">
        <v>102</v>
      </c>
      <c r="C65" s="138" t="s">
        <v>413</v>
      </c>
      <c r="D65" s="138" t="s">
        <v>414</v>
      </c>
      <c r="E65" s="139" t="s">
        <v>52</v>
      </c>
      <c r="F65" s="146" t="s">
        <v>85</v>
      </c>
      <c r="G65" s="141" t="s">
        <v>415</v>
      </c>
      <c r="H65" s="141" t="s">
        <v>416</v>
      </c>
      <c r="I65" s="141" t="s">
        <v>417</v>
      </c>
      <c r="J65" s="141" t="s">
        <v>418</v>
      </c>
      <c r="K65" s="142" t="s">
        <v>164</v>
      </c>
      <c r="L65" s="79" t="s">
        <v>165</v>
      </c>
      <c r="M65" s="79" t="s">
        <v>165</v>
      </c>
      <c r="N65" s="143"/>
    </row>
    <row r="66" ht="140.25" customHeight="1">
      <c r="A66" s="161" t="s">
        <v>419</v>
      </c>
      <c r="B66" s="162" t="s">
        <v>102</v>
      </c>
      <c r="C66" s="163" t="s">
        <v>57</v>
      </c>
      <c r="D66" s="163" t="s">
        <v>420</v>
      </c>
      <c r="E66" s="164" t="s">
        <v>52</v>
      </c>
      <c r="F66" s="170" t="s">
        <v>85</v>
      </c>
      <c r="G66" s="166" t="s">
        <v>421</v>
      </c>
      <c r="H66" s="166" t="s">
        <v>422</v>
      </c>
      <c r="I66" s="166" t="s">
        <v>423</v>
      </c>
      <c r="J66" s="166" t="s">
        <v>424</v>
      </c>
      <c r="K66" s="167" t="s">
        <v>164</v>
      </c>
      <c r="L66" s="168" t="s">
        <v>165</v>
      </c>
      <c r="M66" s="168" t="s">
        <v>165</v>
      </c>
      <c r="N66" s="169" t="s">
        <v>425</v>
      </c>
    </row>
    <row r="67" ht="90.0" customHeight="1">
      <c r="A67" s="136" t="s">
        <v>426</v>
      </c>
      <c r="B67" s="137" t="s">
        <v>102</v>
      </c>
      <c r="C67" s="138" t="s">
        <v>427</v>
      </c>
      <c r="D67" s="138" t="s">
        <v>428</v>
      </c>
      <c r="E67" s="139" t="s">
        <v>59</v>
      </c>
      <c r="F67" s="146" t="s">
        <v>85</v>
      </c>
      <c r="G67" s="141" t="s">
        <v>429</v>
      </c>
      <c r="H67" s="141" t="s">
        <v>430</v>
      </c>
      <c r="I67" s="141" t="s">
        <v>431</v>
      </c>
      <c r="J67" s="141" t="s">
        <v>432</v>
      </c>
      <c r="K67" s="142" t="s">
        <v>164</v>
      </c>
      <c r="L67" s="79" t="s">
        <v>165</v>
      </c>
      <c r="M67" s="79" t="s">
        <v>165</v>
      </c>
      <c r="N67" s="143"/>
    </row>
    <row r="68" ht="90.0" customHeight="1">
      <c r="A68" s="136" t="s">
        <v>433</v>
      </c>
      <c r="B68" s="137" t="s">
        <v>81</v>
      </c>
      <c r="C68" s="138" t="s">
        <v>434</v>
      </c>
      <c r="D68" s="138" t="s">
        <v>435</v>
      </c>
      <c r="E68" s="139" t="s">
        <v>84</v>
      </c>
      <c r="F68" s="140" t="s">
        <v>85</v>
      </c>
      <c r="G68" s="141" t="s">
        <v>436</v>
      </c>
      <c r="H68" s="141" t="s">
        <v>437</v>
      </c>
      <c r="I68" s="141" t="s">
        <v>438</v>
      </c>
      <c r="J68" s="141" t="s">
        <v>439</v>
      </c>
      <c r="K68" s="142" t="s">
        <v>164</v>
      </c>
      <c r="L68" s="79" t="s">
        <v>165</v>
      </c>
      <c r="M68" s="79" t="s">
        <v>165</v>
      </c>
      <c r="N68" s="143"/>
    </row>
    <row r="69" ht="90.0" customHeight="1">
      <c r="A69" s="136" t="s">
        <v>440</v>
      </c>
      <c r="B69" s="137" t="s">
        <v>81</v>
      </c>
      <c r="C69" s="138" t="s">
        <v>434</v>
      </c>
      <c r="D69" s="138" t="s">
        <v>441</v>
      </c>
      <c r="E69" s="139" t="s">
        <v>84</v>
      </c>
      <c r="F69" s="140" t="s">
        <v>85</v>
      </c>
      <c r="G69" s="141" t="s">
        <v>442</v>
      </c>
      <c r="H69" s="141" t="s">
        <v>443</v>
      </c>
      <c r="I69" s="141" t="s">
        <v>444</v>
      </c>
      <c r="J69" s="141" t="s">
        <v>445</v>
      </c>
      <c r="K69" s="142" t="s">
        <v>164</v>
      </c>
      <c r="L69" s="79" t="s">
        <v>165</v>
      </c>
      <c r="M69" s="79" t="s">
        <v>165</v>
      </c>
      <c r="N69" s="143"/>
    </row>
    <row r="70" ht="90.0" customHeight="1">
      <c r="A70" s="136" t="s">
        <v>446</v>
      </c>
      <c r="B70" s="137" t="s">
        <v>81</v>
      </c>
      <c r="C70" s="138" t="s">
        <v>434</v>
      </c>
      <c r="D70" s="138" t="s">
        <v>447</v>
      </c>
      <c r="E70" s="139" t="s">
        <v>97</v>
      </c>
      <c r="F70" s="140" t="s">
        <v>39</v>
      </c>
      <c r="G70" s="141" t="s">
        <v>448</v>
      </c>
      <c r="H70" s="141" t="s">
        <v>449</v>
      </c>
      <c r="I70" s="141" t="s">
        <v>450</v>
      </c>
      <c r="J70" s="141" t="s">
        <v>451</v>
      </c>
      <c r="K70" s="142" t="s">
        <v>164</v>
      </c>
      <c r="L70" s="79" t="s">
        <v>165</v>
      </c>
      <c r="M70" s="79" t="s">
        <v>165</v>
      </c>
      <c r="N70" s="143"/>
    </row>
    <row r="71" ht="90.0" customHeight="1">
      <c r="A71" s="136" t="s">
        <v>452</v>
      </c>
      <c r="B71" s="137" t="s">
        <v>81</v>
      </c>
      <c r="C71" s="138" t="s">
        <v>434</v>
      </c>
      <c r="D71" s="138" t="s">
        <v>453</v>
      </c>
      <c r="E71" s="139" t="s">
        <v>90</v>
      </c>
      <c r="F71" s="140" t="s">
        <v>39</v>
      </c>
      <c r="G71" s="141" t="s">
        <v>454</v>
      </c>
      <c r="H71" s="141" t="s">
        <v>455</v>
      </c>
      <c r="I71" s="141" t="s">
        <v>456</v>
      </c>
      <c r="J71" s="141" t="s">
        <v>457</v>
      </c>
      <c r="K71" s="142" t="s">
        <v>164</v>
      </c>
      <c r="L71" s="79" t="s">
        <v>165</v>
      </c>
      <c r="M71" s="79" t="s">
        <v>165</v>
      </c>
      <c r="N71" s="143"/>
    </row>
    <row r="72" ht="90.0" customHeight="1">
      <c r="A72" s="136" t="s">
        <v>458</v>
      </c>
      <c r="B72" s="137" t="s">
        <v>81</v>
      </c>
      <c r="C72" s="138" t="s">
        <v>459</v>
      </c>
      <c r="D72" s="138" t="s">
        <v>460</v>
      </c>
      <c r="E72" s="139" t="s">
        <v>84</v>
      </c>
      <c r="F72" s="140" t="s">
        <v>39</v>
      </c>
      <c r="G72" s="141" t="s">
        <v>461</v>
      </c>
      <c r="H72" s="141" t="s">
        <v>462</v>
      </c>
      <c r="I72" s="141" t="s">
        <v>463</v>
      </c>
      <c r="J72" s="141" t="s">
        <v>464</v>
      </c>
      <c r="K72" s="142" t="s">
        <v>164</v>
      </c>
      <c r="L72" s="79" t="s">
        <v>165</v>
      </c>
      <c r="M72" s="79" t="s">
        <v>165</v>
      </c>
      <c r="N72" s="143"/>
    </row>
    <row r="73" ht="90.0" customHeight="1">
      <c r="A73" s="136" t="s">
        <v>465</v>
      </c>
      <c r="B73" s="137" t="s">
        <v>81</v>
      </c>
      <c r="C73" s="138" t="s">
        <v>466</v>
      </c>
      <c r="D73" s="138" t="s">
        <v>467</v>
      </c>
      <c r="E73" s="139" t="s">
        <v>84</v>
      </c>
      <c r="F73" s="140" t="s">
        <v>39</v>
      </c>
      <c r="G73" s="141" t="s">
        <v>468</v>
      </c>
      <c r="H73" s="141" t="s">
        <v>469</v>
      </c>
      <c r="I73" s="141" t="s">
        <v>470</v>
      </c>
      <c r="J73" s="141" t="s">
        <v>471</v>
      </c>
      <c r="K73" s="142" t="s">
        <v>164</v>
      </c>
      <c r="L73" s="79" t="s">
        <v>165</v>
      </c>
      <c r="M73" s="79" t="s">
        <v>165</v>
      </c>
      <c r="N73" s="143"/>
    </row>
    <row r="74" ht="90.0" customHeight="1">
      <c r="A74" s="136" t="s">
        <v>472</v>
      </c>
      <c r="B74" s="137" t="s">
        <v>81</v>
      </c>
      <c r="C74" s="138" t="s">
        <v>466</v>
      </c>
      <c r="D74" s="138" t="s">
        <v>473</v>
      </c>
      <c r="E74" s="139" t="s">
        <v>90</v>
      </c>
      <c r="F74" s="145" t="s">
        <v>39</v>
      </c>
      <c r="G74" s="141" t="s">
        <v>474</v>
      </c>
      <c r="H74" s="141" t="s">
        <v>475</v>
      </c>
      <c r="I74" s="141" t="s">
        <v>476</v>
      </c>
      <c r="J74" s="141" t="s">
        <v>477</v>
      </c>
      <c r="K74" s="142" t="s">
        <v>164</v>
      </c>
      <c r="L74" s="79" t="s">
        <v>165</v>
      </c>
      <c r="M74" s="79" t="s">
        <v>165</v>
      </c>
      <c r="N74" s="143"/>
    </row>
    <row r="75" ht="90.0" customHeight="1">
      <c r="A75" s="136" t="s">
        <v>478</v>
      </c>
      <c r="B75" s="137" t="s">
        <v>81</v>
      </c>
      <c r="C75" s="138" t="s">
        <v>479</v>
      </c>
      <c r="D75" s="138" t="s">
        <v>480</v>
      </c>
      <c r="E75" s="139" t="s">
        <v>52</v>
      </c>
      <c r="F75" s="140" t="s">
        <v>39</v>
      </c>
      <c r="G75" s="141" t="s">
        <v>481</v>
      </c>
      <c r="H75" s="141" t="s">
        <v>482</v>
      </c>
      <c r="I75" s="141" t="s">
        <v>483</v>
      </c>
      <c r="J75" s="141" t="s">
        <v>484</v>
      </c>
      <c r="K75" s="142" t="s">
        <v>164</v>
      </c>
      <c r="L75" s="79" t="s">
        <v>165</v>
      </c>
      <c r="M75" s="79" t="s">
        <v>165</v>
      </c>
      <c r="N75" s="143"/>
    </row>
    <row r="76" ht="90.0" customHeight="1">
      <c r="A76" s="136" t="s">
        <v>485</v>
      </c>
      <c r="B76" s="137" t="s">
        <v>81</v>
      </c>
      <c r="C76" s="138" t="s">
        <v>479</v>
      </c>
      <c r="D76" s="138" t="s">
        <v>486</v>
      </c>
      <c r="E76" s="139" t="s">
        <v>84</v>
      </c>
      <c r="F76" s="146" t="s">
        <v>99</v>
      </c>
      <c r="G76" s="141" t="s">
        <v>487</v>
      </c>
      <c r="H76" s="141" t="s">
        <v>488</v>
      </c>
      <c r="I76" s="141" t="s">
        <v>489</v>
      </c>
      <c r="J76" s="141" t="s">
        <v>490</v>
      </c>
      <c r="K76" s="142" t="s">
        <v>164</v>
      </c>
      <c r="L76" s="79" t="s">
        <v>165</v>
      </c>
      <c r="M76" s="79" t="s">
        <v>165</v>
      </c>
      <c r="N76" s="143"/>
    </row>
    <row r="77" ht="90.0" customHeight="1">
      <c r="A77" s="136" t="s">
        <v>491</v>
      </c>
      <c r="B77" s="137" t="s">
        <v>81</v>
      </c>
      <c r="C77" s="138" t="s">
        <v>479</v>
      </c>
      <c r="D77" s="138" t="s">
        <v>492</v>
      </c>
      <c r="E77" s="139" t="s">
        <v>84</v>
      </c>
      <c r="F77" s="140" t="s">
        <v>39</v>
      </c>
      <c r="G77" s="141" t="s">
        <v>493</v>
      </c>
      <c r="H77" s="141" t="s">
        <v>494</v>
      </c>
      <c r="I77" s="141" t="s">
        <v>495</v>
      </c>
      <c r="J77" s="141" t="s">
        <v>496</v>
      </c>
      <c r="K77" s="142" t="s">
        <v>164</v>
      </c>
      <c r="L77" s="79" t="s">
        <v>165</v>
      </c>
      <c r="M77" s="79" t="s">
        <v>165</v>
      </c>
      <c r="N77" s="143"/>
    </row>
    <row r="78" ht="90.0" customHeight="1">
      <c r="A78" s="136" t="s">
        <v>497</v>
      </c>
      <c r="B78" s="137" t="s">
        <v>81</v>
      </c>
      <c r="C78" s="138" t="s">
        <v>479</v>
      </c>
      <c r="D78" s="138" t="s">
        <v>498</v>
      </c>
      <c r="E78" s="139" t="s">
        <v>84</v>
      </c>
      <c r="F78" s="146" t="s">
        <v>85</v>
      </c>
      <c r="G78" s="141" t="s">
        <v>499</v>
      </c>
      <c r="H78" s="141" t="s">
        <v>500</v>
      </c>
      <c r="I78" s="141" t="s">
        <v>501</v>
      </c>
      <c r="J78" s="141" t="s">
        <v>502</v>
      </c>
      <c r="K78" s="142" t="s">
        <v>164</v>
      </c>
      <c r="L78" s="79" t="s">
        <v>165</v>
      </c>
      <c r="M78" s="79" t="s">
        <v>165</v>
      </c>
      <c r="N78" s="143"/>
    </row>
    <row r="79" ht="90.0" customHeight="1">
      <c r="A79" s="136" t="s">
        <v>503</v>
      </c>
      <c r="B79" s="137" t="s">
        <v>81</v>
      </c>
      <c r="C79" s="138" t="s">
        <v>479</v>
      </c>
      <c r="D79" s="138" t="s">
        <v>504</v>
      </c>
      <c r="E79" s="139" t="s">
        <v>104</v>
      </c>
      <c r="F79" s="146" t="s">
        <v>39</v>
      </c>
      <c r="G79" s="141" t="s">
        <v>505</v>
      </c>
      <c r="H79" s="141" t="s">
        <v>506</v>
      </c>
      <c r="I79" s="141" t="s">
        <v>507</v>
      </c>
      <c r="J79" s="141" t="s">
        <v>508</v>
      </c>
      <c r="K79" s="142" t="s">
        <v>164</v>
      </c>
      <c r="L79" s="79" t="s">
        <v>165</v>
      </c>
      <c r="M79" s="79" t="s">
        <v>165</v>
      </c>
      <c r="N79" s="143"/>
    </row>
    <row r="80" ht="94.5" customHeight="1">
      <c r="A80" s="171" t="s">
        <v>509</v>
      </c>
      <c r="B80" s="172" t="s">
        <v>81</v>
      </c>
      <c r="C80" s="173" t="s">
        <v>510</v>
      </c>
      <c r="D80" s="173" t="s">
        <v>511</v>
      </c>
      <c r="E80" s="174" t="s">
        <v>84</v>
      </c>
      <c r="F80" s="175" t="s">
        <v>85</v>
      </c>
      <c r="G80" s="176" t="s">
        <v>512</v>
      </c>
      <c r="H80" s="176" t="s">
        <v>513</v>
      </c>
      <c r="I80" s="176" t="s">
        <v>514</v>
      </c>
      <c r="J80" s="176" t="s">
        <v>515</v>
      </c>
      <c r="K80" s="177" t="s">
        <v>164</v>
      </c>
      <c r="L80" s="178" t="s">
        <v>165</v>
      </c>
      <c r="M80" s="178" t="s">
        <v>165</v>
      </c>
      <c r="N80" s="179"/>
    </row>
    <row r="81" ht="105.0" customHeight="1">
      <c r="A81" s="136" t="s">
        <v>516</v>
      </c>
      <c r="B81" s="137" t="s">
        <v>81</v>
      </c>
      <c r="C81" s="138" t="s">
        <v>427</v>
      </c>
      <c r="D81" s="138" t="s">
        <v>517</v>
      </c>
      <c r="E81" s="139" t="s">
        <v>59</v>
      </c>
      <c r="F81" s="145" t="s">
        <v>85</v>
      </c>
      <c r="G81" s="141" t="s">
        <v>518</v>
      </c>
      <c r="H81" s="141" t="s">
        <v>519</v>
      </c>
      <c r="I81" s="141" t="s">
        <v>520</v>
      </c>
      <c r="J81" s="141" t="s">
        <v>521</v>
      </c>
      <c r="K81" s="142" t="s">
        <v>164</v>
      </c>
      <c r="L81" s="79" t="s">
        <v>165</v>
      </c>
      <c r="M81" s="79" t="s">
        <v>165</v>
      </c>
      <c r="N81" s="143"/>
    </row>
    <row r="82" ht="90.0" customHeight="1">
      <c r="A82" s="136" t="s">
        <v>522</v>
      </c>
      <c r="B82" s="137" t="s">
        <v>89</v>
      </c>
      <c r="C82" s="138" t="s">
        <v>523</v>
      </c>
      <c r="D82" s="138" t="s">
        <v>524</v>
      </c>
      <c r="E82" s="139" t="s">
        <v>52</v>
      </c>
      <c r="F82" s="140" t="s">
        <v>99</v>
      </c>
      <c r="G82" s="141" t="s">
        <v>525</v>
      </c>
      <c r="H82" s="141" t="s">
        <v>526</v>
      </c>
      <c r="I82" s="141" t="s">
        <v>527</v>
      </c>
      <c r="J82" s="141" t="s">
        <v>528</v>
      </c>
      <c r="K82" s="142" t="s">
        <v>164</v>
      </c>
      <c r="L82" s="79" t="s">
        <v>165</v>
      </c>
      <c r="M82" s="79" t="s">
        <v>165</v>
      </c>
      <c r="N82" s="143"/>
    </row>
    <row r="83" ht="90.0" customHeight="1">
      <c r="A83" s="136" t="s">
        <v>529</v>
      </c>
      <c r="B83" s="137" t="s">
        <v>89</v>
      </c>
      <c r="C83" s="138" t="s">
        <v>530</v>
      </c>
      <c r="D83" s="138" t="s">
        <v>531</v>
      </c>
      <c r="E83" s="139" t="s">
        <v>84</v>
      </c>
      <c r="F83" s="140" t="s">
        <v>99</v>
      </c>
      <c r="G83" s="141" t="s">
        <v>532</v>
      </c>
      <c r="H83" s="141" t="s">
        <v>533</v>
      </c>
      <c r="I83" s="141" t="s">
        <v>534</v>
      </c>
      <c r="J83" s="141" t="s">
        <v>535</v>
      </c>
      <c r="K83" s="142" t="s">
        <v>164</v>
      </c>
      <c r="L83" s="79" t="s">
        <v>165</v>
      </c>
      <c r="M83" s="79" t="s">
        <v>165</v>
      </c>
      <c r="N83" s="143"/>
    </row>
    <row r="84" ht="90.0" customHeight="1">
      <c r="A84" s="136" t="s">
        <v>536</v>
      </c>
      <c r="B84" s="137" t="s">
        <v>89</v>
      </c>
      <c r="C84" s="138" t="s">
        <v>537</v>
      </c>
      <c r="D84" s="138" t="s">
        <v>538</v>
      </c>
      <c r="E84" s="139" t="s">
        <v>84</v>
      </c>
      <c r="F84" s="140" t="s">
        <v>39</v>
      </c>
      <c r="G84" s="141" t="s">
        <v>539</v>
      </c>
      <c r="H84" s="141" t="s">
        <v>540</v>
      </c>
      <c r="I84" s="141" t="s">
        <v>541</v>
      </c>
      <c r="J84" s="141" t="s">
        <v>542</v>
      </c>
      <c r="K84" s="142" t="s">
        <v>164</v>
      </c>
      <c r="L84" s="79" t="s">
        <v>165</v>
      </c>
      <c r="M84" s="79" t="s">
        <v>165</v>
      </c>
      <c r="N84" s="143"/>
    </row>
    <row r="85" ht="90.0" customHeight="1">
      <c r="A85" s="136" t="s">
        <v>543</v>
      </c>
      <c r="B85" s="137" t="s">
        <v>89</v>
      </c>
      <c r="C85" s="138" t="s">
        <v>537</v>
      </c>
      <c r="D85" s="138" t="s">
        <v>544</v>
      </c>
      <c r="E85" s="139" t="s">
        <v>90</v>
      </c>
      <c r="F85" s="140" t="s">
        <v>39</v>
      </c>
      <c r="G85" s="141" t="s">
        <v>545</v>
      </c>
      <c r="H85" s="141" t="s">
        <v>546</v>
      </c>
      <c r="I85" s="141" t="s">
        <v>547</v>
      </c>
      <c r="J85" s="141" t="s">
        <v>548</v>
      </c>
      <c r="K85" s="142" t="s">
        <v>164</v>
      </c>
      <c r="L85" s="79" t="s">
        <v>165</v>
      </c>
      <c r="M85" s="79" t="s">
        <v>165</v>
      </c>
      <c r="N85" s="143"/>
    </row>
    <row r="86" ht="90.0" customHeight="1">
      <c r="A86" s="136" t="s">
        <v>549</v>
      </c>
      <c r="B86" s="137" t="s">
        <v>89</v>
      </c>
      <c r="C86" s="138" t="s">
        <v>537</v>
      </c>
      <c r="D86" s="138" t="s">
        <v>550</v>
      </c>
      <c r="E86" s="139" t="s">
        <v>84</v>
      </c>
      <c r="F86" s="140" t="s">
        <v>39</v>
      </c>
      <c r="G86" s="141" t="s">
        <v>551</v>
      </c>
      <c r="H86" s="141" t="s">
        <v>552</v>
      </c>
      <c r="I86" s="141" t="s">
        <v>553</v>
      </c>
      <c r="J86" s="141" t="s">
        <v>554</v>
      </c>
      <c r="K86" s="142" t="s">
        <v>164</v>
      </c>
      <c r="L86" s="79" t="s">
        <v>165</v>
      </c>
      <c r="M86" s="79" t="s">
        <v>165</v>
      </c>
      <c r="N86" s="143"/>
    </row>
    <row r="87" ht="90.0" customHeight="1">
      <c r="A87" s="136" t="s">
        <v>555</v>
      </c>
      <c r="B87" s="137" t="s">
        <v>89</v>
      </c>
      <c r="C87" s="138" t="s">
        <v>537</v>
      </c>
      <c r="D87" s="138" t="s">
        <v>556</v>
      </c>
      <c r="E87" s="139" t="s">
        <v>90</v>
      </c>
      <c r="F87" s="146" t="s">
        <v>39</v>
      </c>
      <c r="G87" s="141" t="s">
        <v>557</v>
      </c>
      <c r="H87" s="141" t="s">
        <v>558</v>
      </c>
      <c r="I87" s="141" t="s">
        <v>559</v>
      </c>
      <c r="J87" s="141" t="s">
        <v>560</v>
      </c>
      <c r="K87" s="142" t="s">
        <v>164</v>
      </c>
      <c r="L87" s="79" t="s">
        <v>165</v>
      </c>
      <c r="M87" s="79" t="s">
        <v>165</v>
      </c>
      <c r="N87" s="143"/>
    </row>
    <row r="88" ht="90.0" customHeight="1">
      <c r="A88" s="136" t="s">
        <v>561</v>
      </c>
      <c r="B88" s="137" t="s">
        <v>89</v>
      </c>
      <c r="C88" s="138" t="s">
        <v>537</v>
      </c>
      <c r="D88" s="138" t="s">
        <v>562</v>
      </c>
      <c r="E88" s="139" t="s">
        <v>90</v>
      </c>
      <c r="F88" s="145" t="s">
        <v>39</v>
      </c>
      <c r="G88" s="141" t="s">
        <v>563</v>
      </c>
      <c r="H88" s="141" t="s">
        <v>564</v>
      </c>
      <c r="I88" s="141" t="s">
        <v>565</v>
      </c>
      <c r="J88" s="141" t="s">
        <v>566</v>
      </c>
      <c r="K88" s="142" t="s">
        <v>164</v>
      </c>
      <c r="L88" s="79" t="s">
        <v>165</v>
      </c>
      <c r="M88" s="79" t="s">
        <v>165</v>
      </c>
      <c r="N88" s="143"/>
    </row>
    <row r="89" ht="90.0" customHeight="1">
      <c r="A89" s="136" t="s">
        <v>567</v>
      </c>
      <c r="B89" s="137" t="s">
        <v>89</v>
      </c>
      <c r="C89" s="138" t="s">
        <v>537</v>
      </c>
      <c r="D89" s="138" t="s">
        <v>568</v>
      </c>
      <c r="E89" s="139" t="s">
        <v>59</v>
      </c>
      <c r="F89" s="140" t="s">
        <v>85</v>
      </c>
      <c r="G89" s="141" t="s">
        <v>569</v>
      </c>
      <c r="H89" s="141" t="s">
        <v>570</v>
      </c>
      <c r="I89" s="141" t="s">
        <v>571</v>
      </c>
      <c r="J89" s="141" t="s">
        <v>572</v>
      </c>
      <c r="K89" s="142" t="s">
        <v>164</v>
      </c>
      <c r="L89" s="79" t="s">
        <v>165</v>
      </c>
      <c r="M89" s="79" t="s">
        <v>165</v>
      </c>
      <c r="N89" s="143"/>
    </row>
    <row r="90" ht="90.0" customHeight="1">
      <c r="A90" s="136" t="s">
        <v>573</v>
      </c>
      <c r="B90" s="137" t="s">
        <v>89</v>
      </c>
      <c r="C90" s="138" t="s">
        <v>574</v>
      </c>
      <c r="D90" s="138" t="s">
        <v>575</v>
      </c>
      <c r="E90" s="139" t="s">
        <v>52</v>
      </c>
      <c r="F90" s="140" t="s">
        <v>99</v>
      </c>
      <c r="G90" s="141" t="s">
        <v>576</v>
      </c>
      <c r="H90" s="141" t="s">
        <v>577</v>
      </c>
      <c r="I90" s="141" t="s">
        <v>578</v>
      </c>
      <c r="J90" s="141" t="s">
        <v>579</v>
      </c>
      <c r="K90" s="142" t="s">
        <v>164</v>
      </c>
      <c r="L90" s="79" t="s">
        <v>165</v>
      </c>
      <c r="M90" s="79" t="s">
        <v>165</v>
      </c>
      <c r="N90" s="143"/>
    </row>
    <row r="91" ht="90.0" customHeight="1">
      <c r="A91" s="136" t="s">
        <v>580</v>
      </c>
      <c r="B91" s="137" t="s">
        <v>89</v>
      </c>
      <c r="C91" s="138" t="s">
        <v>574</v>
      </c>
      <c r="D91" s="138" t="s">
        <v>581</v>
      </c>
      <c r="E91" s="139" t="s">
        <v>84</v>
      </c>
      <c r="F91" s="140" t="s">
        <v>39</v>
      </c>
      <c r="G91" s="141" t="s">
        <v>582</v>
      </c>
      <c r="H91" s="141" t="s">
        <v>583</v>
      </c>
      <c r="I91" s="141" t="s">
        <v>584</v>
      </c>
      <c r="J91" s="141" t="s">
        <v>585</v>
      </c>
      <c r="K91" s="142" t="s">
        <v>164</v>
      </c>
      <c r="L91" s="79" t="s">
        <v>165</v>
      </c>
      <c r="M91" s="79" t="s">
        <v>165</v>
      </c>
      <c r="N91" s="143"/>
    </row>
    <row r="92" ht="90.0" customHeight="1">
      <c r="A92" s="136" t="s">
        <v>586</v>
      </c>
      <c r="B92" s="137" t="s">
        <v>89</v>
      </c>
      <c r="C92" s="138" t="s">
        <v>587</v>
      </c>
      <c r="D92" s="138" t="s">
        <v>588</v>
      </c>
      <c r="E92" s="139" t="s">
        <v>84</v>
      </c>
      <c r="F92" s="140" t="s">
        <v>39</v>
      </c>
      <c r="G92" s="141" t="s">
        <v>589</v>
      </c>
      <c r="H92" s="141" t="s">
        <v>590</v>
      </c>
      <c r="I92" s="141" t="s">
        <v>591</v>
      </c>
      <c r="J92" s="141" t="s">
        <v>592</v>
      </c>
      <c r="K92" s="142" t="s">
        <v>164</v>
      </c>
      <c r="L92" s="79" t="s">
        <v>165</v>
      </c>
      <c r="M92" s="79" t="s">
        <v>165</v>
      </c>
      <c r="N92" s="143"/>
    </row>
    <row r="93" ht="90.0" customHeight="1">
      <c r="A93" s="171" t="s">
        <v>593</v>
      </c>
      <c r="B93" s="172" t="s">
        <v>89</v>
      </c>
      <c r="C93" s="173" t="s">
        <v>587</v>
      </c>
      <c r="D93" s="173" t="s">
        <v>594</v>
      </c>
      <c r="E93" s="174" t="s">
        <v>84</v>
      </c>
      <c r="F93" s="175" t="s">
        <v>39</v>
      </c>
      <c r="G93" s="176" t="s">
        <v>595</v>
      </c>
      <c r="H93" s="176" t="s">
        <v>596</v>
      </c>
      <c r="I93" s="176" t="s">
        <v>597</v>
      </c>
      <c r="J93" s="176" t="s">
        <v>598</v>
      </c>
      <c r="K93" s="177" t="s">
        <v>164</v>
      </c>
      <c r="L93" s="178" t="s">
        <v>165</v>
      </c>
      <c r="M93" s="178" t="s">
        <v>165</v>
      </c>
      <c r="N93" s="179"/>
    </row>
    <row r="94" ht="90.0" customHeight="1">
      <c r="A94" s="136" t="s">
        <v>599</v>
      </c>
      <c r="B94" s="137" t="s">
        <v>89</v>
      </c>
      <c r="C94" s="138" t="s">
        <v>600</v>
      </c>
      <c r="D94" s="138" t="s">
        <v>601</v>
      </c>
      <c r="E94" s="139" t="s">
        <v>52</v>
      </c>
      <c r="F94" s="140" t="s">
        <v>39</v>
      </c>
      <c r="G94" s="141" t="s">
        <v>602</v>
      </c>
      <c r="H94" s="141" t="s">
        <v>603</v>
      </c>
      <c r="I94" s="141" t="s">
        <v>604</v>
      </c>
      <c r="J94" s="141" t="s">
        <v>605</v>
      </c>
      <c r="K94" s="142" t="s">
        <v>164</v>
      </c>
      <c r="L94" s="79" t="s">
        <v>165</v>
      </c>
      <c r="M94" s="79" t="s">
        <v>165</v>
      </c>
      <c r="N94" s="143" t="s">
        <v>606</v>
      </c>
    </row>
    <row r="95" ht="90.0" customHeight="1">
      <c r="A95" s="136" t="s">
        <v>607</v>
      </c>
      <c r="B95" s="137" t="s">
        <v>96</v>
      </c>
      <c r="C95" s="138" t="s">
        <v>608</v>
      </c>
      <c r="D95" s="138" t="s">
        <v>609</v>
      </c>
      <c r="E95" s="139" t="s">
        <v>84</v>
      </c>
      <c r="F95" s="146" t="s">
        <v>99</v>
      </c>
      <c r="G95" s="141" t="s">
        <v>610</v>
      </c>
      <c r="H95" s="141" t="s">
        <v>611</v>
      </c>
      <c r="I95" s="141" t="s">
        <v>612</v>
      </c>
      <c r="J95" s="141" t="s">
        <v>613</v>
      </c>
      <c r="K95" s="142" t="s">
        <v>164</v>
      </c>
      <c r="L95" s="79" t="s">
        <v>165</v>
      </c>
      <c r="M95" s="79" t="s">
        <v>165</v>
      </c>
      <c r="N95" s="143"/>
    </row>
    <row r="96" ht="90.0" customHeight="1">
      <c r="A96" s="136" t="s">
        <v>614</v>
      </c>
      <c r="B96" s="137" t="s">
        <v>96</v>
      </c>
      <c r="C96" s="138" t="s">
        <v>615</v>
      </c>
      <c r="D96" s="138" t="s">
        <v>616</v>
      </c>
      <c r="E96" s="139" t="s">
        <v>84</v>
      </c>
      <c r="F96" s="140" t="s">
        <v>39</v>
      </c>
      <c r="G96" s="141" t="s">
        <v>617</v>
      </c>
      <c r="H96" s="141" t="s">
        <v>618</v>
      </c>
      <c r="I96" s="141" t="s">
        <v>619</v>
      </c>
      <c r="J96" s="141" t="s">
        <v>620</v>
      </c>
      <c r="K96" s="142" t="s">
        <v>164</v>
      </c>
      <c r="L96" s="79" t="s">
        <v>165</v>
      </c>
      <c r="M96" s="79" t="s">
        <v>165</v>
      </c>
      <c r="N96" s="143"/>
    </row>
    <row r="97" ht="90.0" customHeight="1">
      <c r="A97" s="136" t="s">
        <v>621</v>
      </c>
      <c r="B97" s="137" t="s">
        <v>96</v>
      </c>
      <c r="C97" s="138" t="s">
        <v>615</v>
      </c>
      <c r="D97" s="138" t="s">
        <v>622</v>
      </c>
      <c r="E97" s="139" t="s">
        <v>84</v>
      </c>
      <c r="F97" s="140" t="s">
        <v>85</v>
      </c>
      <c r="G97" s="141" t="s">
        <v>623</v>
      </c>
      <c r="H97" s="141" t="s">
        <v>624</v>
      </c>
      <c r="I97" s="141" t="s">
        <v>625</v>
      </c>
      <c r="J97" s="141" t="s">
        <v>626</v>
      </c>
      <c r="K97" s="142" t="s">
        <v>164</v>
      </c>
      <c r="L97" s="79" t="s">
        <v>165</v>
      </c>
      <c r="M97" s="79" t="s">
        <v>165</v>
      </c>
      <c r="N97" s="143"/>
    </row>
    <row r="98" ht="90.0" customHeight="1">
      <c r="A98" s="136" t="s">
        <v>627</v>
      </c>
      <c r="B98" s="137" t="s">
        <v>96</v>
      </c>
      <c r="C98" s="138" t="s">
        <v>615</v>
      </c>
      <c r="D98" s="138" t="s">
        <v>628</v>
      </c>
      <c r="E98" s="139" t="s">
        <v>84</v>
      </c>
      <c r="F98" s="145" t="s">
        <v>39</v>
      </c>
      <c r="G98" s="141" t="s">
        <v>629</v>
      </c>
      <c r="H98" s="141" t="s">
        <v>630</v>
      </c>
      <c r="I98" s="141" t="s">
        <v>631</v>
      </c>
      <c r="J98" s="141" t="s">
        <v>632</v>
      </c>
      <c r="K98" s="142" t="s">
        <v>164</v>
      </c>
      <c r="L98" s="79" t="s">
        <v>165</v>
      </c>
      <c r="M98" s="79" t="s">
        <v>165</v>
      </c>
      <c r="N98" s="143"/>
    </row>
    <row r="99" ht="90.0" customHeight="1">
      <c r="A99" s="136" t="s">
        <v>633</v>
      </c>
      <c r="B99" s="137" t="s">
        <v>96</v>
      </c>
      <c r="C99" s="138" t="s">
        <v>615</v>
      </c>
      <c r="D99" s="138" t="s">
        <v>473</v>
      </c>
      <c r="E99" s="139" t="s">
        <v>90</v>
      </c>
      <c r="F99" s="140" t="s">
        <v>39</v>
      </c>
      <c r="G99" s="141" t="s">
        <v>634</v>
      </c>
      <c r="H99" s="141" t="s">
        <v>635</v>
      </c>
      <c r="I99" s="141" t="s">
        <v>636</v>
      </c>
      <c r="J99" s="141" t="s">
        <v>637</v>
      </c>
      <c r="K99" s="142" t="s">
        <v>164</v>
      </c>
      <c r="L99" s="79" t="s">
        <v>165</v>
      </c>
      <c r="M99" s="79" t="s">
        <v>165</v>
      </c>
      <c r="N99" s="143"/>
    </row>
    <row r="100" ht="90.0" customHeight="1">
      <c r="A100" s="136" t="s">
        <v>638</v>
      </c>
      <c r="B100" s="137" t="s">
        <v>96</v>
      </c>
      <c r="C100" s="138" t="s">
        <v>639</v>
      </c>
      <c r="D100" s="138" t="s">
        <v>640</v>
      </c>
      <c r="E100" s="139" t="s">
        <v>84</v>
      </c>
      <c r="F100" s="140" t="s">
        <v>99</v>
      </c>
      <c r="G100" s="141" t="s">
        <v>641</v>
      </c>
      <c r="H100" s="141" t="s">
        <v>642</v>
      </c>
      <c r="I100" s="141" t="s">
        <v>643</v>
      </c>
      <c r="J100" s="141" t="s">
        <v>644</v>
      </c>
      <c r="K100" s="142" t="s">
        <v>164</v>
      </c>
      <c r="L100" s="79" t="s">
        <v>165</v>
      </c>
      <c r="M100" s="79" t="s">
        <v>165</v>
      </c>
      <c r="N100" s="143"/>
    </row>
    <row r="101" ht="90.0" customHeight="1">
      <c r="A101" s="136" t="s">
        <v>645</v>
      </c>
      <c r="B101" s="137" t="s">
        <v>96</v>
      </c>
      <c r="C101" s="138" t="s">
        <v>639</v>
      </c>
      <c r="D101" s="138" t="s">
        <v>646</v>
      </c>
      <c r="E101" s="139" t="s">
        <v>90</v>
      </c>
      <c r="F101" s="146" t="s">
        <v>39</v>
      </c>
      <c r="G101" s="141" t="s">
        <v>647</v>
      </c>
      <c r="H101" s="141" t="s">
        <v>648</v>
      </c>
      <c r="I101" s="141" t="s">
        <v>649</v>
      </c>
      <c r="J101" s="141" t="s">
        <v>650</v>
      </c>
      <c r="K101" s="142" t="s">
        <v>164</v>
      </c>
      <c r="L101" s="79" t="s">
        <v>165</v>
      </c>
      <c r="M101" s="79" t="s">
        <v>165</v>
      </c>
      <c r="N101" s="143"/>
    </row>
    <row r="102" ht="90.0" customHeight="1">
      <c r="A102" s="136" t="s">
        <v>651</v>
      </c>
      <c r="B102" s="137" t="s">
        <v>96</v>
      </c>
      <c r="C102" s="138" t="s">
        <v>639</v>
      </c>
      <c r="D102" s="138" t="s">
        <v>652</v>
      </c>
      <c r="E102" s="139" t="s">
        <v>90</v>
      </c>
      <c r="F102" s="140" t="s">
        <v>39</v>
      </c>
      <c r="G102" s="141" t="s">
        <v>653</v>
      </c>
      <c r="H102" s="141" t="s">
        <v>654</v>
      </c>
      <c r="I102" s="141" t="s">
        <v>655</v>
      </c>
      <c r="J102" s="141" t="s">
        <v>656</v>
      </c>
      <c r="K102" s="142" t="s">
        <v>164</v>
      </c>
      <c r="L102" s="79" t="s">
        <v>165</v>
      </c>
      <c r="M102" s="79" t="s">
        <v>165</v>
      </c>
      <c r="N102" s="143"/>
    </row>
    <row r="103" ht="90.0" customHeight="1">
      <c r="A103" s="136" t="s">
        <v>657</v>
      </c>
      <c r="B103" s="137" t="s">
        <v>96</v>
      </c>
      <c r="C103" s="138" t="s">
        <v>639</v>
      </c>
      <c r="D103" s="138" t="s">
        <v>658</v>
      </c>
      <c r="E103" s="139" t="s">
        <v>84</v>
      </c>
      <c r="F103" s="146" t="s">
        <v>85</v>
      </c>
      <c r="G103" s="141" t="s">
        <v>659</v>
      </c>
      <c r="H103" s="141" t="s">
        <v>660</v>
      </c>
      <c r="I103" s="141" t="s">
        <v>661</v>
      </c>
      <c r="J103" s="141" t="s">
        <v>662</v>
      </c>
      <c r="K103" s="142" t="s">
        <v>164</v>
      </c>
      <c r="L103" s="79" t="s">
        <v>165</v>
      </c>
      <c r="M103" s="79" t="s">
        <v>165</v>
      </c>
      <c r="N103" s="143"/>
    </row>
    <row r="104" ht="90.0" customHeight="1">
      <c r="A104" s="180" t="s">
        <v>663</v>
      </c>
      <c r="B104" s="181" t="s">
        <v>96</v>
      </c>
      <c r="C104" s="182" t="s">
        <v>639</v>
      </c>
      <c r="D104" s="182" t="s">
        <v>664</v>
      </c>
      <c r="E104" s="183" t="s">
        <v>84</v>
      </c>
      <c r="F104" s="184" t="s">
        <v>39</v>
      </c>
      <c r="G104" s="185" t="s">
        <v>665</v>
      </c>
      <c r="H104" s="185" t="s">
        <v>666</v>
      </c>
      <c r="I104" s="185" t="s">
        <v>667</v>
      </c>
      <c r="J104" s="185" t="s">
        <v>668</v>
      </c>
      <c r="K104" s="186" t="s">
        <v>164</v>
      </c>
      <c r="L104" s="187" t="s">
        <v>165</v>
      </c>
      <c r="M104" s="187" t="s">
        <v>165</v>
      </c>
      <c r="N104" s="188"/>
    </row>
    <row r="105" ht="90.0" customHeight="1">
      <c r="A105" s="136" t="s">
        <v>669</v>
      </c>
      <c r="B105" s="137" t="s">
        <v>96</v>
      </c>
      <c r="C105" s="138" t="s">
        <v>670</v>
      </c>
      <c r="D105" s="138" t="s">
        <v>671</v>
      </c>
      <c r="E105" s="139" t="s">
        <v>59</v>
      </c>
      <c r="F105" s="140" t="s">
        <v>85</v>
      </c>
      <c r="G105" s="141" t="s">
        <v>672</v>
      </c>
      <c r="H105" s="141" t="s">
        <v>673</v>
      </c>
      <c r="I105" s="141" t="s">
        <v>674</v>
      </c>
      <c r="J105" s="141" t="s">
        <v>675</v>
      </c>
      <c r="K105" s="142" t="s">
        <v>164</v>
      </c>
      <c r="L105" s="79" t="s">
        <v>165</v>
      </c>
      <c r="M105" s="79" t="s">
        <v>165</v>
      </c>
      <c r="N105" s="143"/>
    </row>
    <row r="106" ht="90.0" customHeight="1">
      <c r="A106" s="136" t="s">
        <v>676</v>
      </c>
      <c r="B106" s="137" t="s">
        <v>103</v>
      </c>
      <c r="C106" s="138" t="s">
        <v>677</v>
      </c>
      <c r="D106" s="138" t="s">
        <v>678</v>
      </c>
      <c r="E106" s="139" t="s">
        <v>52</v>
      </c>
      <c r="F106" s="146" t="s">
        <v>39</v>
      </c>
      <c r="G106" s="141" t="s">
        <v>679</v>
      </c>
      <c r="H106" s="141" t="s">
        <v>680</v>
      </c>
      <c r="I106" s="141" t="s">
        <v>681</v>
      </c>
      <c r="J106" s="141" t="s">
        <v>682</v>
      </c>
      <c r="K106" s="142" t="s">
        <v>164</v>
      </c>
      <c r="L106" s="79" t="s">
        <v>165</v>
      </c>
      <c r="M106" s="79" t="s">
        <v>165</v>
      </c>
      <c r="N106" s="143"/>
    </row>
    <row r="107" ht="90.0" customHeight="1">
      <c r="A107" s="136" t="s">
        <v>683</v>
      </c>
      <c r="B107" s="137" t="s">
        <v>103</v>
      </c>
      <c r="C107" s="138" t="s">
        <v>677</v>
      </c>
      <c r="D107" s="138" t="s">
        <v>684</v>
      </c>
      <c r="E107" s="139" t="s">
        <v>52</v>
      </c>
      <c r="F107" s="140" t="s">
        <v>39</v>
      </c>
      <c r="G107" s="141" t="s">
        <v>685</v>
      </c>
      <c r="H107" s="141" t="s">
        <v>686</v>
      </c>
      <c r="I107" s="141" t="s">
        <v>687</v>
      </c>
      <c r="J107" s="141" t="s">
        <v>688</v>
      </c>
      <c r="K107" s="142" t="s">
        <v>164</v>
      </c>
      <c r="L107" s="79" t="s">
        <v>165</v>
      </c>
      <c r="M107" s="79" t="s">
        <v>165</v>
      </c>
      <c r="N107" s="143"/>
    </row>
    <row r="108" ht="90.0" customHeight="1">
      <c r="A108" s="136" t="s">
        <v>689</v>
      </c>
      <c r="B108" s="137" t="s">
        <v>103</v>
      </c>
      <c r="C108" s="138" t="s">
        <v>690</v>
      </c>
      <c r="D108" s="138" t="s">
        <v>691</v>
      </c>
      <c r="E108" s="139" t="s">
        <v>52</v>
      </c>
      <c r="F108" s="140" t="s">
        <v>85</v>
      </c>
      <c r="G108" s="141" t="s">
        <v>692</v>
      </c>
      <c r="H108" s="141" t="s">
        <v>693</v>
      </c>
      <c r="I108" s="141" t="s">
        <v>694</v>
      </c>
      <c r="J108" s="141" t="s">
        <v>695</v>
      </c>
      <c r="K108" s="142" t="s">
        <v>164</v>
      </c>
      <c r="L108" s="79" t="s">
        <v>165</v>
      </c>
      <c r="M108" s="79" t="s">
        <v>165</v>
      </c>
      <c r="N108" s="143"/>
    </row>
    <row r="109" ht="90.0" customHeight="1">
      <c r="A109" s="136" t="s">
        <v>696</v>
      </c>
      <c r="B109" s="137" t="s">
        <v>103</v>
      </c>
      <c r="C109" s="138" t="s">
        <v>697</v>
      </c>
      <c r="D109" s="138" t="s">
        <v>698</v>
      </c>
      <c r="E109" s="139" t="s">
        <v>84</v>
      </c>
      <c r="F109" s="146" t="s">
        <v>39</v>
      </c>
      <c r="G109" s="141" t="s">
        <v>699</v>
      </c>
      <c r="H109" s="141" t="s">
        <v>700</v>
      </c>
      <c r="I109" s="141" t="s">
        <v>701</v>
      </c>
      <c r="J109" s="141" t="s">
        <v>702</v>
      </c>
      <c r="K109" s="142" t="s">
        <v>164</v>
      </c>
      <c r="L109" s="79" t="s">
        <v>165</v>
      </c>
      <c r="M109" s="79" t="s">
        <v>165</v>
      </c>
      <c r="N109" s="143"/>
    </row>
    <row r="110" ht="90.0" customHeight="1">
      <c r="A110" s="136" t="s">
        <v>703</v>
      </c>
      <c r="B110" s="137" t="s">
        <v>103</v>
      </c>
      <c r="C110" s="138" t="s">
        <v>697</v>
      </c>
      <c r="D110" s="138" t="s">
        <v>704</v>
      </c>
      <c r="E110" s="139" t="s">
        <v>84</v>
      </c>
      <c r="F110" s="140" t="s">
        <v>39</v>
      </c>
      <c r="G110" s="141" t="s">
        <v>705</v>
      </c>
      <c r="H110" s="141" t="s">
        <v>706</v>
      </c>
      <c r="I110" s="141" t="s">
        <v>707</v>
      </c>
      <c r="J110" s="141" t="s">
        <v>708</v>
      </c>
      <c r="K110" s="142" t="s">
        <v>164</v>
      </c>
      <c r="L110" s="79" t="s">
        <v>165</v>
      </c>
      <c r="M110" s="79" t="s">
        <v>165</v>
      </c>
      <c r="N110" s="143"/>
    </row>
    <row r="111" ht="90.0" customHeight="1">
      <c r="A111" s="136" t="s">
        <v>709</v>
      </c>
      <c r="B111" s="137" t="s">
        <v>103</v>
      </c>
      <c r="C111" s="138" t="s">
        <v>120</v>
      </c>
      <c r="D111" s="138" t="s">
        <v>710</v>
      </c>
      <c r="E111" s="139" t="s">
        <v>84</v>
      </c>
      <c r="F111" s="140" t="s">
        <v>85</v>
      </c>
      <c r="G111" s="141" t="s">
        <v>711</v>
      </c>
      <c r="H111" s="141" t="s">
        <v>712</v>
      </c>
      <c r="I111" s="141" t="s">
        <v>713</v>
      </c>
      <c r="J111" s="141" t="s">
        <v>714</v>
      </c>
      <c r="K111" s="142" t="s">
        <v>164</v>
      </c>
      <c r="L111" s="79" t="s">
        <v>165</v>
      </c>
      <c r="M111" s="79" t="s">
        <v>165</v>
      </c>
      <c r="N111" s="143"/>
    </row>
    <row r="112" ht="90.0" customHeight="1">
      <c r="A112" s="136" t="s">
        <v>715</v>
      </c>
      <c r="B112" s="137" t="s">
        <v>103</v>
      </c>
      <c r="C112" s="138" t="s">
        <v>120</v>
      </c>
      <c r="D112" s="138" t="s">
        <v>716</v>
      </c>
      <c r="E112" s="139" t="s">
        <v>97</v>
      </c>
      <c r="F112" s="140" t="s">
        <v>39</v>
      </c>
      <c r="G112" s="141" t="s">
        <v>717</v>
      </c>
      <c r="H112" s="141" t="s">
        <v>718</v>
      </c>
      <c r="I112" s="141" t="s">
        <v>719</v>
      </c>
      <c r="J112" s="141" t="s">
        <v>720</v>
      </c>
      <c r="K112" s="142" t="s">
        <v>164</v>
      </c>
      <c r="L112" s="79" t="s">
        <v>165</v>
      </c>
      <c r="M112" s="79" t="s">
        <v>165</v>
      </c>
      <c r="N112" s="143"/>
    </row>
    <row r="113" ht="90.0" customHeight="1">
      <c r="A113" s="136" t="s">
        <v>721</v>
      </c>
      <c r="B113" s="137" t="s">
        <v>103</v>
      </c>
      <c r="C113" s="138" t="s">
        <v>120</v>
      </c>
      <c r="D113" s="138" t="s">
        <v>722</v>
      </c>
      <c r="E113" s="139" t="s">
        <v>97</v>
      </c>
      <c r="F113" s="140" t="s">
        <v>39</v>
      </c>
      <c r="G113" s="141" t="s">
        <v>723</v>
      </c>
      <c r="H113" s="141" t="s">
        <v>724</v>
      </c>
      <c r="I113" s="141" t="s">
        <v>725</v>
      </c>
      <c r="J113" s="141" t="s">
        <v>726</v>
      </c>
      <c r="K113" s="142" t="s">
        <v>164</v>
      </c>
      <c r="L113" s="79" t="s">
        <v>165</v>
      </c>
      <c r="M113" s="79" t="s">
        <v>165</v>
      </c>
      <c r="N113" s="143"/>
    </row>
    <row r="114" ht="90.0" customHeight="1">
      <c r="A114" s="136" t="s">
        <v>727</v>
      </c>
      <c r="B114" s="137" t="s">
        <v>103</v>
      </c>
      <c r="C114" s="138" t="s">
        <v>728</v>
      </c>
      <c r="D114" s="138" t="s">
        <v>729</v>
      </c>
      <c r="E114" s="139" t="s">
        <v>84</v>
      </c>
      <c r="F114" s="140" t="s">
        <v>39</v>
      </c>
      <c r="G114" s="141" t="s">
        <v>730</v>
      </c>
      <c r="H114" s="141" t="s">
        <v>731</v>
      </c>
      <c r="I114" s="141" t="s">
        <v>732</v>
      </c>
      <c r="J114" s="141" t="s">
        <v>733</v>
      </c>
      <c r="K114" s="142" t="s">
        <v>164</v>
      </c>
      <c r="L114" s="79" t="s">
        <v>165</v>
      </c>
      <c r="M114" s="79" t="s">
        <v>165</v>
      </c>
      <c r="N114" s="143"/>
    </row>
    <row r="115" ht="90.0" customHeight="1">
      <c r="A115" s="136" t="s">
        <v>734</v>
      </c>
      <c r="B115" s="137" t="s">
        <v>103</v>
      </c>
      <c r="C115" s="138" t="s">
        <v>728</v>
      </c>
      <c r="D115" s="138" t="s">
        <v>735</v>
      </c>
      <c r="E115" s="139" t="s">
        <v>90</v>
      </c>
      <c r="F115" s="146" t="s">
        <v>39</v>
      </c>
      <c r="G115" s="141" t="s">
        <v>730</v>
      </c>
      <c r="H115" s="141" t="s">
        <v>736</v>
      </c>
      <c r="I115" s="141" t="s">
        <v>737</v>
      </c>
      <c r="J115" s="141" t="s">
        <v>738</v>
      </c>
      <c r="K115" s="142" t="s">
        <v>164</v>
      </c>
      <c r="L115" s="79" t="s">
        <v>165</v>
      </c>
      <c r="M115" s="79" t="s">
        <v>165</v>
      </c>
      <c r="N115" s="143"/>
    </row>
    <row r="116" ht="90.0" customHeight="1">
      <c r="A116" s="136" t="s">
        <v>739</v>
      </c>
      <c r="B116" s="137" t="s">
        <v>103</v>
      </c>
      <c r="C116" s="138" t="s">
        <v>728</v>
      </c>
      <c r="D116" s="138" t="s">
        <v>740</v>
      </c>
      <c r="E116" s="139" t="s">
        <v>84</v>
      </c>
      <c r="F116" s="140" t="s">
        <v>39</v>
      </c>
      <c r="G116" s="141" t="s">
        <v>741</v>
      </c>
      <c r="H116" s="141" t="s">
        <v>742</v>
      </c>
      <c r="I116" s="141" t="s">
        <v>743</v>
      </c>
      <c r="J116" s="141" t="s">
        <v>744</v>
      </c>
      <c r="K116" s="142" t="s">
        <v>164</v>
      </c>
      <c r="L116" s="79" t="s">
        <v>165</v>
      </c>
      <c r="M116" s="79" t="s">
        <v>165</v>
      </c>
      <c r="N116" s="143"/>
    </row>
    <row r="117" ht="90.0" customHeight="1">
      <c r="A117" s="136" t="s">
        <v>745</v>
      </c>
      <c r="B117" s="137" t="s">
        <v>103</v>
      </c>
      <c r="C117" s="138" t="s">
        <v>746</v>
      </c>
      <c r="D117" s="138" t="s">
        <v>747</v>
      </c>
      <c r="E117" s="139" t="s">
        <v>84</v>
      </c>
      <c r="F117" s="140" t="s">
        <v>85</v>
      </c>
      <c r="G117" s="141" t="s">
        <v>748</v>
      </c>
      <c r="H117" s="141" t="s">
        <v>749</v>
      </c>
      <c r="I117" s="141" t="s">
        <v>750</v>
      </c>
      <c r="J117" s="141" t="s">
        <v>751</v>
      </c>
      <c r="K117" s="142" t="s">
        <v>164</v>
      </c>
      <c r="L117" s="79" t="s">
        <v>165</v>
      </c>
      <c r="M117" s="79" t="s">
        <v>165</v>
      </c>
      <c r="N117" s="143"/>
    </row>
    <row r="118" ht="90.0" customHeight="1">
      <c r="A118" s="136" t="s">
        <v>752</v>
      </c>
      <c r="B118" s="137" t="s">
        <v>103</v>
      </c>
      <c r="C118" s="138" t="s">
        <v>753</v>
      </c>
      <c r="D118" s="138" t="s">
        <v>754</v>
      </c>
      <c r="E118" s="139" t="s">
        <v>84</v>
      </c>
      <c r="F118" s="140" t="s">
        <v>39</v>
      </c>
      <c r="G118" s="141" t="s">
        <v>755</v>
      </c>
      <c r="H118" s="141" t="s">
        <v>756</v>
      </c>
      <c r="I118" s="141" t="s">
        <v>757</v>
      </c>
      <c r="J118" s="141" t="s">
        <v>758</v>
      </c>
      <c r="K118" s="142" t="s">
        <v>164</v>
      </c>
      <c r="L118" s="79" t="s">
        <v>165</v>
      </c>
      <c r="M118" s="79" t="s">
        <v>165</v>
      </c>
      <c r="N118" s="143"/>
    </row>
    <row r="119" ht="90.0" customHeight="1">
      <c r="A119" s="136" t="s">
        <v>759</v>
      </c>
      <c r="B119" s="137" t="s">
        <v>103</v>
      </c>
      <c r="C119" s="138" t="s">
        <v>753</v>
      </c>
      <c r="D119" s="138" t="s">
        <v>760</v>
      </c>
      <c r="E119" s="139" t="s">
        <v>84</v>
      </c>
      <c r="F119" s="140" t="s">
        <v>39</v>
      </c>
      <c r="G119" s="141" t="s">
        <v>761</v>
      </c>
      <c r="H119" s="141" t="s">
        <v>762</v>
      </c>
      <c r="I119" s="141" t="s">
        <v>763</v>
      </c>
      <c r="J119" s="141" t="s">
        <v>764</v>
      </c>
      <c r="K119" s="142" t="s">
        <v>164</v>
      </c>
      <c r="L119" s="79" t="s">
        <v>165</v>
      </c>
      <c r="M119" s="79" t="s">
        <v>165</v>
      </c>
      <c r="N119" s="143"/>
    </row>
    <row r="120" ht="90.0" customHeight="1">
      <c r="A120" s="136" t="s">
        <v>765</v>
      </c>
      <c r="B120" s="137" t="s">
        <v>103</v>
      </c>
      <c r="C120" s="138" t="s">
        <v>697</v>
      </c>
      <c r="D120" s="138" t="s">
        <v>766</v>
      </c>
      <c r="E120" s="139" t="s">
        <v>52</v>
      </c>
      <c r="F120" s="146" t="s">
        <v>39</v>
      </c>
      <c r="G120" s="141" t="s">
        <v>767</v>
      </c>
      <c r="H120" s="141" t="s">
        <v>768</v>
      </c>
      <c r="I120" s="141" t="s">
        <v>769</v>
      </c>
      <c r="J120" s="141" t="s">
        <v>770</v>
      </c>
      <c r="K120" s="142" t="s">
        <v>164</v>
      </c>
      <c r="L120" s="79" t="s">
        <v>165</v>
      </c>
      <c r="M120" s="79" t="s">
        <v>165</v>
      </c>
      <c r="N120" s="143" t="s">
        <v>771</v>
      </c>
    </row>
    <row r="121" ht="90.0" customHeight="1">
      <c r="A121" s="136" t="s">
        <v>772</v>
      </c>
      <c r="B121" s="137" t="s">
        <v>103</v>
      </c>
      <c r="C121" s="138" t="s">
        <v>697</v>
      </c>
      <c r="D121" s="138" t="s">
        <v>773</v>
      </c>
      <c r="E121" s="139" t="s">
        <v>90</v>
      </c>
      <c r="F121" s="146" t="s">
        <v>39</v>
      </c>
      <c r="G121" s="141" t="s">
        <v>774</v>
      </c>
      <c r="H121" s="141" t="s">
        <v>775</v>
      </c>
      <c r="I121" s="141" t="s">
        <v>776</v>
      </c>
      <c r="J121" s="141" t="s">
        <v>777</v>
      </c>
      <c r="K121" s="142" t="s">
        <v>164</v>
      </c>
      <c r="L121" s="79" t="s">
        <v>165</v>
      </c>
      <c r="M121" s="79" t="s">
        <v>165</v>
      </c>
      <c r="N121" s="143" t="s">
        <v>778</v>
      </c>
    </row>
    <row r="122" ht="90.0" customHeight="1">
      <c r="A122" s="189" t="s">
        <v>779</v>
      </c>
      <c r="B122" s="190" t="s">
        <v>103</v>
      </c>
      <c r="C122" s="191" t="s">
        <v>780</v>
      </c>
      <c r="D122" s="191" t="s">
        <v>781</v>
      </c>
      <c r="E122" s="192" t="s">
        <v>52</v>
      </c>
      <c r="F122" s="193" t="s">
        <v>85</v>
      </c>
      <c r="G122" s="194" t="s">
        <v>782</v>
      </c>
      <c r="H122" s="194" t="s">
        <v>783</v>
      </c>
      <c r="I122" s="194" t="s">
        <v>784</v>
      </c>
      <c r="J122" s="194" t="s">
        <v>785</v>
      </c>
      <c r="K122" s="195" t="s">
        <v>164</v>
      </c>
      <c r="L122" s="100" t="s">
        <v>165</v>
      </c>
      <c r="M122" s="100" t="s">
        <v>165</v>
      </c>
      <c r="N122" s="196"/>
    </row>
    <row r="123" ht="90.0" customHeight="1">
      <c r="A123" s="189" t="s">
        <v>786</v>
      </c>
      <c r="B123" s="190" t="s">
        <v>103</v>
      </c>
      <c r="C123" s="191" t="s">
        <v>787</v>
      </c>
      <c r="D123" s="191" t="s">
        <v>788</v>
      </c>
      <c r="E123" s="100" t="s">
        <v>52</v>
      </c>
      <c r="F123" s="197" t="s">
        <v>85</v>
      </c>
      <c r="G123" s="194" t="s">
        <v>789</v>
      </c>
      <c r="H123" s="194" t="s">
        <v>790</v>
      </c>
      <c r="I123" s="194" t="s">
        <v>791</v>
      </c>
      <c r="J123" s="194" t="s">
        <v>792</v>
      </c>
      <c r="K123" s="198" t="s">
        <v>164</v>
      </c>
      <c r="L123" s="100" t="s">
        <v>165</v>
      </c>
      <c r="M123" s="100" t="s">
        <v>165</v>
      </c>
      <c r="N123" s="196"/>
    </row>
    <row r="124" ht="90.0" customHeight="1">
      <c r="A124" s="189" t="s">
        <v>793</v>
      </c>
      <c r="B124" s="190" t="s">
        <v>103</v>
      </c>
      <c r="C124" s="191" t="s">
        <v>787</v>
      </c>
      <c r="D124" s="191" t="s">
        <v>794</v>
      </c>
      <c r="E124" s="100" t="s">
        <v>84</v>
      </c>
      <c r="F124" s="199" t="s">
        <v>39</v>
      </c>
      <c r="G124" s="194" t="s">
        <v>795</v>
      </c>
      <c r="H124" s="194" t="s">
        <v>796</v>
      </c>
      <c r="I124" s="194" t="s">
        <v>797</v>
      </c>
      <c r="J124" s="194" t="s">
        <v>798</v>
      </c>
      <c r="K124" s="198" t="s">
        <v>164</v>
      </c>
      <c r="L124" s="100" t="s">
        <v>165</v>
      </c>
      <c r="M124" s="100" t="s">
        <v>165</v>
      </c>
      <c r="N124" s="196"/>
    </row>
    <row r="125" ht="15.75" customHeight="1">
      <c r="A125" s="200"/>
      <c r="B125" s="200"/>
      <c r="C125" s="200"/>
      <c r="D125" s="200"/>
      <c r="E125" s="200"/>
      <c r="F125" s="200"/>
      <c r="G125" s="200"/>
      <c r="H125" s="200"/>
      <c r="I125" s="200"/>
      <c r="J125" s="200"/>
      <c r="K125" s="200"/>
      <c r="L125" s="200"/>
      <c r="M125" s="200"/>
      <c r="N125" s="200"/>
    </row>
    <row r="126" ht="15.75" customHeight="1">
      <c r="A126" s="200"/>
      <c r="B126" s="200"/>
      <c r="C126" s="200"/>
      <c r="D126" s="200"/>
      <c r="E126" s="200"/>
      <c r="F126" s="200"/>
      <c r="G126" s="200"/>
      <c r="H126" s="200"/>
      <c r="I126" s="200"/>
      <c r="J126" s="200"/>
      <c r="K126" s="200"/>
      <c r="L126" s="200"/>
      <c r="M126" s="200"/>
      <c r="N126" s="200"/>
    </row>
    <row r="127" ht="15.75" customHeight="1">
      <c r="A127" s="200"/>
      <c r="B127" s="200"/>
      <c r="C127" s="200"/>
      <c r="D127" s="200"/>
      <c r="E127" s="200"/>
      <c r="F127" s="200"/>
      <c r="G127" s="200"/>
      <c r="H127" s="200"/>
      <c r="I127" s="200"/>
      <c r="J127" s="200"/>
      <c r="K127" s="200"/>
      <c r="L127" s="200"/>
      <c r="M127" s="200"/>
      <c r="N127" s="200"/>
    </row>
    <row r="128" ht="15.75" customHeight="1">
      <c r="A128" s="200"/>
      <c r="B128" s="200"/>
      <c r="C128" s="200"/>
      <c r="D128" s="200"/>
      <c r="E128" s="200"/>
      <c r="F128" s="200"/>
      <c r="G128" s="200"/>
      <c r="H128" s="200"/>
      <c r="I128" s="200"/>
      <c r="J128" s="200"/>
      <c r="K128" s="200"/>
      <c r="L128" s="200"/>
      <c r="M128" s="200"/>
      <c r="N128" s="200"/>
    </row>
    <row r="129" ht="15.75" customHeight="1">
      <c r="A129" s="200"/>
      <c r="B129" s="200"/>
      <c r="C129" s="200"/>
      <c r="D129" s="200"/>
      <c r="E129" s="200"/>
      <c r="F129" s="200"/>
      <c r="G129" s="200"/>
      <c r="H129" s="200"/>
      <c r="I129" s="200"/>
      <c r="J129" s="200"/>
      <c r="K129" s="200"/>
      <c r="L129" s="200"/>
      <c r="M129" s="200"/>
      <c r="N129" s="200"/>
    </row>
    <row r="130" ht="15.75" customHeight="1">
      <c r="A130" s="200"/>
      <c r="B130" s="200"/>
      <c r="C130" s="200"/>
      <c r="D130" s="200"/>
      <c r="E130" s="200"/>
      <c r="F130" s="200"/>
      <c r="G130" s="200"/>
      <c r="H130" s="200"/>
      <c r="I130" s="200"/>
      <c r="J130" s="200"/>
      <c r="K130" s="200"/>
      <c r="L130" s="200"/>
      <c r="M130" s="200"/>
      <c r="N130" s="200"/>
    </row>
    <row r="131" ht="15.75" customHeight="1">
      <c r="A131" s="200"/>
      <c r="B131" s="200"/>
      <c r="C131" s="200"/>
      <c r="D131" s="200"/>
      <c r="E131" s="200"/>
      <c r="F131" s="200"/>
      <c r="G131" s="200"/>
      <c r="H131" s="200"/>
      <c r="I131" s="200"/>
      <c r="J131" s="200"/>
      <c r="K131" s="200"/>
      <c r="L131" s="200"/>
      <c r="M131" s="200"/>
      <c r="N131" s="200"/>
    </row>
    <row r="132" ht="15.75" customHeight="1">
      <c r="A132" s="200"/>
      <c r="B132" s="200"/>
      <c r="C132" s="200"/>
      <c r="D132" s="200"/>
      <c r="E132" s="200"/>
      <c r="F132" s="200"/>
      <c r="G132" s="200"/>
      <c r="H132" s="200"/>
      <c r="I132" s="200"/>
      <c r="J132" s="200"/>
      <c r="K132" s="200"/>
      <c r="L132" s="200"/>
      <c r="M132" s="200"/>
      <c r="N132" s="200"/>
    </row>
    <row r="133" ht="15.75" customHeight="1">
      <c r="A133" s="200"/>
      <c r="B133" s="200"/>
      <c r="C133" s="200"/>
      <c r="D133" s="200"/>
      <c r="E133" s="200"/>
      <c r="F133" s="200"/>
      <c r="G133" s="200"/>
      <c r="H133" s="200"/>
      <c r="I133" s="200"/>
      <c r="J133" s="200"/>
      <c r="K133" s="200"/>
      <c r="L133" s="200"/>
      <c r="M133" s="200"/>
      <c r="N133" s="200"/>
    </row>
    <row r="134" ht="15.75" customHeight="1">
      <c r="A134" s="200"/>
      <c r="B134" s="200"/>
      <c r="C134" s="200"/>
      <c r="D134" s="200"/>
      <c r="E134" s="200"/>
      <c r="F134" s="200"/>
      <c r="G134" s="200"/>
      <c r="H134" s="200"/>
      <c r="I134" s="200"/>
      <c r="J134" s="200"/>
      <c r="K134" s="200"/>
      <c r="L134" s="200"/>
      <c r="M134" s="200"/>
      <c r="N134" s="200"/>
    </row>
    <row r="135" ht="15.75" customHeight="1">
      <c r="A135" s="200"/>
      <c r="B135" s="200"/>
      <c r="C135" s="200"/>
      <c r="D135" s="200"/>
      <c r="E135" s="200"/>
      <c r="F135" s="200"/>
      <c r="G135" s="200"/>
      <c r="H135" s="200"/>
      <c r="I135" s="200"/>
      <c r="J135" s="200"/>
      <c r="K135" s="200"/>
      <c r="L135" s="200"/>
      <c r="M135" s="200"/>
      <c r="N135" s="200"/>
    </row>
    <row r="136" ht="15.75" customHeight="1">
      <c r="A136" s="200"/>
      <c r="B136" s="200"/>
      <c r="C136" s="200"/>
      <c r="D136" s="200"/>
      <c r="E136" s="200"/>
      <c r="F136" s="200"/>
      <c r="G136" s="200"/>
      <c r="H136" s="200"/>
      <c r="I136" s="200"/>
      <c r="J136" s="200"/>
      <c r="K136" s="200"/>
      <c r="L136" s="200"/>
      <c r="M136" s="200"/>
      <c r="N136" s="200"/>
    </row>
    <row r="137" ht="15.75" customHeight="1">
      <c r="A137" s="200"/>
      <c r="B137" s="200"/>
      <c r="C137" s="200"/>
      <c r="D137" s="200"/>
      <c r="E137" s="200"/>
      <c r="F137" s="200"/>
      <c r="G137" s="200"/>
      <c r="H137" s="200"/>
      <c r="I137" s="200"/>
      <c r="J137" s="200"/>
      <c r="K137" s="200"/>
      <c r="L137" s="200"/>
      <c r="M137" s="200"/>
      <c r="N137" s="200"/>
    </row>
    <row r="138" ht="15.75" customHeight="1">
      <c r="A138" s="200"/>
      <c r="B138" s="200"/>
      <c r="C138" s="200"/>
      <c r="D138" s="200"/>
      <c r="E138" s="200"/>
      <c r="F138" s="200"/>
      <c r="G138" s="200"/>
      <c r="H138" s="200"/>
      <c r="I138" s="200"/>
      <c r="J138" s="200"/>
      <c r="K138" s="200"/>
      <c r="L138" s="200"/>
      <c r="M138" s="200"/>
      <c r="N138" s="200"/>
    </row>
    <row r="139" ht="15.75" customHeight="1">
      <c r="A139" s="200"/>
      <c r="B139" s="200"/>
      <c r="C139" s="200"/>
      <c r="D139" s="200"/>
      <c r="E139" s="200"/>
      <c r="F139" s="200"/>
      <c r="G139" s="200"/>
      <c r="H139" s="200"/>
      <c r="I139" s="200"/>
      <c r="J139" s="200"/>
      <c r="K139" s="200"/>
      <c r="L139" s="200"/>
      <c r="M139" s="200"/>
      <c r="N139" s="200"/>
    </row>
    <row r="140" ht="15.75" customHeight="1">
      <c r="A140" s="200"/>
      <c r="B140" s="200"/>
      <c r="C140" s="200"/>
      <c r="D140" s="200"/>
      <c r="E140" s="200"/>
      <c r="F140" s="200"/>
      <c r="G140" s="200"/>
      <c r="H140" s="200"/>
      <c r="I140" s="200"/>
      <c r="J140" s="200"/>
      <c r="K140" s="200"/>
      <c r="L140" s="200"/>
      <c r="M140" s="200"/>
      <c r="N140" s="200"/>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A1:N2"/>
    <mergeCell ref="A3:N3"/>
    <mergeCell ref="B5:C5"/>
    <mergeCell ref="E5:F5"/>
    <mergeCell ref="H5:I5"/>
    <mergeCell ref="K5:N5"/>
    <mergeCell ref="J6:N6"/>
    <mergeCell ref="I10:J10"/>
    <mergeCell ref="K10:L10"/>
    <mergeCell ref="M15:N16"/>
    <mergeCell ref="B6:H6"/>
    <mergeCell ref="B7:N7"/>
    <mergeCell ref="A9:N9"/>
    <mergeCell ref="A10:B10"/>
    <mergeCell ref="E10:F10"/>
    <mergeCell ref="G10:H10"/>
    <mergeCell ref="M10:N10"/>
    <mergeCell ref="C10:D10"/>
    <mergeCell ref="A12:D12"/>
    <mergeCell ref="E12:H12"/>
    <mergeCell ref="I12:J12"/>
    <mergeCell ref="K12:L12"/>
    <mergeCell ref="M12:N12"/>
    <mergeCell ref="A18:N18"/>
    <mergeCell ref="B19:C19"/>
    <mergeCell ref="E19:F19"/>
    <mergeCell ref="H19:I19"/>
    <mergeCell ref="K19:N19"/>
    <mergeCell ref="B20:C20"/>
    <mergeCell ref="E20:F20"/>
    <mergeCell ref="H20:I20"/>
    <mergeCell ref="K23:N23"/>
    <mergeCell ref="L24:N24"/>
    <mergeCell ref="F24:H24"/>
    <mergeCell ref="F25:H25"/>
    <mergeCell ref="K20:N20"/>
    <mergeCell ref="A22:N22"/>
    <mergeCell ref="B23:C23"/>
    <mergeCell ref="E23:F23"/>
    <mergeCell ref="H23:I23"/>
    <mergeCell ref="B24:D24"/>
    <mergeCell ref="B25:D25"/>
    <mergeCell ref="L25:N25"/>
  </mergeCells>
  <conditionalFormatting sqref="F28:F122">
    <cfRule type="expression" dxfId="0" priority="1">
      <formula>F28="P1"</formula>
    </cfRule>
  </conditionalFormatting>
  <conditionalFormatting sqref="F28:F122">
    <cfRule type="expression" dxfId="1" priority="2">
      <formula>F28="P2"</formula>
    </cfRule>
  </conditionalFormatting>
  <conditionalFormatting sqref="F28:F122">
    <cfRule type="expression" dxfId="2" priority="3">
      <formula>F28="P3"</formula>
    </cfRule>
  </conditionalFormatting>
  <conditionalFormatting sqref="K28:K122">
    <cfRule type="expression" dxfId="3" priority="4">
      <formula>K28="Pass"</formula>
    </cfRule>
  </conditionalFormatting>
  <conditionalFormatting sqref="K28:K122">
    <cfRule type="expression" dxfId="4" priority="5">
      <formula>K28="Fail"</formula>
    </cfRule>
  </conditionalFormatting>
  <conditionalFormatting sqref="K28:K122">
    <cfRule type="expression" dxfId="5" priority="6">
      <formula>K28="Blocked"</formula>
    </cfRule>
  </conditionalFormatting>
  <conditionalFormatting sqref="K28:K122">
    <cfRule type="expression" dxfId="6" priority="7">
      <formula>K28="Not Run"</formula>
    </cfRule>
  </conditionalFormatting>
  <conditionalFormatting sqref="K28:K122">
    <cfRule type="expression" dxfId="7" priority="8">
      <formula>K28="N/A"</formula>
    </cfRule>
  </conditionalFormatting>
  <conditionalFormatting sqref="L28:L122">
    <cfRule type="expression" dxfId="4" priority="9">
      <formula>L28="Defect"</formula>
    </cfRule>
  </conditionalFormatting>
  <conditionalFormatting sqref="L28:L122">
    <cfRule type="expression" dxfId="1" priority="10">
      <formula>L28="Observation"</formula>
    </cfRule>
  </conditionalFormatting>
  <conditionalFormatting sqref="L28:L122">
    <cfRule type="expression" dxfId="2" priority="11">
      <formula>L28="Improvement"</formula>
    </cfRule>
  </conditionalFormatting>
  <conditionalFormatting sqref="F123:F124">
    <cfRule type="expression" dxfId="0" priority="12">
      <formula>F123="P1"</formula>
    </cfRule>
  </conditionalFormatting>
  <conditionalFormatting sqref="F123:F124">
    <cfRule type="expression" dxfId="1" priority="13">
      <formula>F123="P2"</formula>
    </cfRule>
  </conditionalFormatting>
  <conditionalFormatting sqref="F123:F124">
    <cfRule type="expression" dxfId="2" priority="14">
      <formula>F123="P3"</formula>
    </cfRule>
  </conditionalFormatting>
  <conditionalFormatting sqref="K123:K124">
    <cfRule type="expression" dxfId="3" priority="15">
      <formula>K123="Pass"</formula>
    </cfRule>
  </conditionalFormatting>
  <conditionalFormatting sqref="K123:K124">
    <cfRule type="expression" dxfId="4" priority="16">
      <formula>K123="Fail"</formula>
    </cfRule>
  </conditionalFormatting>
  <conditionalFormatting sqref="K123:K124">
    <cfRule type="expression" dxfId="5" priority="17">
      <formula>K123="Blocked"</formula>
    </cfRule>
  </conditionalFormatting>
  <conditionalFormatting sqref="K123:K124">
    <cfRule type="expression" dxfId="6" priority="18">
      <formula>K123="Not Run"</formula>
    </cfRule>
  </conditionalFormatting>
  <conditionalFormatting sqref="K123:K124">
    <cfRule type="expression" dxfId="7" priority="19">
      <formula>K123="N/A"</formula>
    </cfRule>
  </conditionalFormatting>
  <conditionalFormatting sqref="L123:L124">
    <cfRule type="expression" dxfId="4" priority="20">
      <formula>L123="Defect"</formula>
    </cfRule>
  </conditionalFormatting>
  <conditionalFormatting sqref="L123:L124">
    <cfRule type="expression" dxfId="1" priority="21">
      <formula>L123="Observation"</formula>
    </cfRule>
  </conditionalFormatting>
  <conditionalFormatting sqref="L123:L124">
    <cfRule type="expression" dxfId="2" priority="22">
      <formula>L123="Improvement"</formula>
    </cfRule>
  </conditionalFormatting>
  <dataValidations>
    <dataValidation type="list" allowBlank="1" sqref="F28:F124">
      <formula1>"P1,P2,P3"</formula1>
    </dataValidation>
    <dataValidation type="list" allowBlank="1" sqref="L28:L124">
      <formula1>"-,Defect,Observation,Improvement"</formula1>
    </dataValidation>
    <dataValidation type="list" allowBlank="1" sqref="M28:M124">
      <formula1>"-,BTS 후보,Jira 등록"</formula1>
    </dataValidation>
    <dataValidation type="list" allowBlank="1" sqref="E28:E124">
      <formula1>"정상,예외,경계,상태전이,지속성,복구,인터럽트,중복입력"</formula1>
    </dataValidation>
    <dataValidation type="list" allowBlank="1" sqref="K28:K124">
      <formula1>"Pass,Fail,Blocked,Not Run,N/A"</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3.14"/>
    <col customWidth="1" min="3" max="4" width="15.43"/>
    <col customWidth="1" min="5" max="6" width="13.14"/>
    <col customWidth="1" min="7" max="12" width="15.43"/>
    <col customWidth="1" min="13" max="14" width="14.0"/>
    <col customWidth="1" min="15" max="16" width="8.71"/>
  </cols>
  <sheetData>
    <row r="1" ht="28.5" customHeight="1">
      <c r="A1" s="5" t="s">
        <v>2</v>
      </c>
      <c r="B1" s="7"/>
      <c r="C1" s="7"/>
      <c r="D1" s="7"/>
      <c r="E1" s="7"/>
      <c r="F1" s="7"/>
      <c r="G1" s="7"/>
      <c r="H1" s="7"/>
      <c r="I1" s="7"/>
      <c r="J1" s="7"/>
      <c r="K1" s="7"/>
      <c r="L1" s="7"/>
      <c r="M1" s="7"/>
      <c r="N1" s="10"/>
    </row>
    <row r="2" ht="18.0" customHeight="1">
      <c r="A2" s="13" t="s">
        <v>7</v>
      </c>
      <c r="B2" s="7"/>
      <c r="C2" s="7"/>
      <c r="D2" s="7"/>
      <c r="E2" s="7"/>
      <c r="F2" s="7"/>
      <c r="G2" s="7"/>
      <c r="H2" s="7"/>
      <c r="I2" s="7"/>
      <c r="J2" s="7"/>
      <c r="K2" s="7"/>
      <c r="L2" s="7"/>
      <c r="M2" s="7"/>
      <c r="N2" s="10"/>
    </row>
    <row r="3" ht="7.5" customHeight="1">
      <c r="A3" s="16"/>
      <c r="B3" s="16"/>
      <c r="C3" s="16"/>
      <c r="D3" s="16"/>
      <c r="E3" s="16"/>
      <c r="F3" s="16"/>
      <c r="G3" s="16"/>
      <c r="H3" s="16"/>
      <c r="I3" s="16"/>
      <c r="J3" s="16"/>
      <c r="K3" s="16"/>
      <c r="L3" s="16"/>
      <c r="M3" s="16"/>
      <c r="N3" s="16"/>
    </row>
    <row r="4" ht="22.5" customHeight="1">
      <c r="A4" s="23" t="s">
        <v>27</v>
      </c>
      <c r="B4" s="24"/>
      <c r="C4" s="24"/>
      <c r="D4" s="24"/>
      <c r="E4" s="24"/>
      <c r="F4" s="24"/>
      <c r="G4" s="24"/>
      <c r="H4" s="24"/>
      <c r="I4" s="24"/>
      <c r="J4" s="24"/>
      <c r="K4" s="24"/>
      <c r="L4" s="24"/>
      <c r="M4" s="24"/>
      <c r="N4" s="26"/>
    </row>
    <row r="5" ht="21.0" customHeight="1">
      <c r="A5" s="27" t="s">
        <v>28</v>
      </c>
      <c r="C5" s="29" t="s">
        <v>29</v>
      </c>
      <c r="D5" s="10"/>
      <c r="E5" s="31" t="s">
        <v>31</v>
      </c>
      <c r="F5" s="10"/>
      <c r="G5" s="32" t="s">
        <v>32</v>
      </c>
      <c r="H5" s="10"/>
      <c r="I5" s="31" t="s">
        <v>34</v>
      </c>
      <c r="J5" s="10"/>
      <c r="K5" s="32" t="s">
        <v>35</v>
      </c>
      <c r="L5" s="10"/>
      <c r="M5" s="37" t="s">
        <v>37</v>
      </c>
      <c r="N5" s="38" t="s">
        <v>39</v>
      </c>
    </row>
    <row r="6" ht="21.0" customHeight="1">
      <c r="A6" s="27" t="s">
        <v>40</v>
      </c>
      <c r="C6" s="29" t="s">
        <v>42</v>
      </c>
      <c r="D6" s="7"/>
      <c r="E6" s="7"/>
      <c r="F6" s="10"/>
      <c r="G6" s="31" t="s">
        <v>44</v>
      </c>
      <c r="H6" s="10"/>
      <c r="I6" s="45" t="s">
        <v>46</v>
      </c>
      <c r="J6" s="7"/>
      <c r="K6" s="7"/>
      <c r="L6" s="7"/>
      <c r="M6" s="7"/>
      <c r="N6" s="47"/>
    </row>
    <row r="7" ht="21.0" customHeight="1">
      <c r="A7" s="48" t="s">
        <v>48</v>
      </c>
      <c r="B7" s="49"/>
      <c r="C7" s="50" t="s">
        <v>49</v>
      </c>
      <c r="D7" s="52"/>
      <c r="E7" s="52"/>
      <c r="F7" s="54"/>
      <c r="G7" s="56" t="s">
        <v>51</v>
      </c>
      <c r="H7" s="54"/>
      <c r="I7" s="59" t="s">
        <v>54</v>
      </c>
      <c r="J7" s="52"/>
      <c r="K7" s="52"/>
      <c r="L7" s="52"/>
      <c r="M7" s="52"/>
      <c r="N7" s="60"/>
    </row>
    <row r="8">
      <c r="A8" s="61" t="s">
        <v>64</v>
      </c>
      <c r="B8" s="26"/>
      <c r="C8" s="64" t="s">
        <v>66</v>
      </c>
      <c r="D8" s="24"/>
      <c r="E8" s="24"/>
      <c r="F8" s="24"/>
      <c r="G8" s="24"/>
      <c r="H8" s="24"/>
      <c r="I8" s="24"/>
      <c r="J8" s="24"/>
      <c r="K8" s="24"/>
      <c r="L8" s="24"/>
      <c r="M8" s="24"/>
      <c r="N8" s="26"/>
    </row>
    <row r="9" ht="18.0" customHeight="1">
      <c r="A9" s="67"/>
      <c r="B9" s="68"/>
      <c r="N9" s="68"/>
    </row>
    <row r="10" ht="31.5" customHeight="1">
      <c r="A10" s="69"/>
      <c r="B10" s="70"/>
      <c r="C10" s="71"/>
      <c r="D10" s="71"/>
      <c r="E10" s="71"/>
      <c r="F10" s="71"/>
      <c r="G10" s="71"/>
      <c r="H10" s="71"/>
      <c r="I10" s="71"/>
      <c r="J10" s="71"/>
      <c r="K10" s="71"/>
      <c r="L10" s="71"/>
      <c r="M10" s="71"/>
      <c r="N10" s="70"/>
    </row>
    <row r="11" ht="18.0" customHeight="1">
      <c r="A11" s="74" t="s">
        <v>71</v>
      </c>
      <c r="B11" s="75"/>
      <c r="C11" s="64" t="s">
        <v>74</v>
      </c>
      <c r="D11" s="24"/>
      <c r="E11" s="24"/>
      <c r="F11" s="24"/>
      <c r="G11" s="24"/>
      <c r="H11" s="24"/>
      <c r="I11" s="24"/>
      <c r="J11" s="24"/>
      <c r="K11" s="24"/>
      <c r="L11" s="24"/>
      <c r="M11" s="24"/>
      <c r="N11" s="26"/>
    </row>
    <row r="12" ht="57.0" customHeight="1">
      <c r="A12" s="69"/>
      <c r="B12" s="70"/>
      <c r="C12" s="71"/>
      <c r="D12" s="71"/>
      <c r="E12" s="71"/>
      <c r="F12" s="71"/>
      <c r="G12" s="71"/>
      <c r="H12" s="71"/>
      <c r="I12" s="71"/>
      <c r="J12" s="71"/>
      <c r="K12" s="71"/>
      <c r="L12" s="71"/>
      <c r="M12" s="71"/>
      <c r="N12" s="70"/>
    </row>
    <row r="13" ht="18.0" customHeight="1">
      <c r="A13" s="74" t="s">
        <v>79</v>
      </c>
      <c r="B13" s="75"/>
      <c r="C13" s="64" t="s">
        <v>80</v>
      </c>
      <c r="D13" s="24"/>
      <c r="E13" s="24"/>
      <c r="F13" s="24"/>
      <c r="G13" s="24"/>
      <c r="H13" s="24"/>
      <c r="I13" s="24"/>
      <c r="J13" s="24"/>
      <c r="K13" s="24"/>
      <c r="L13" s="24"/>
      <c r="M13" s="24"/>
      <c r="N13" s="26"/>
    </row>
    <row r="14" ht="34.5" customHeight="1">
      <c r="A14" s="69"/>
      <c r="B14" s="70"/>
      <c r="N14" s="68"/>
    </row>
    <row r="15" ht="18.0" customHeight="1">
      <c r="A15" s="74" t="s">
        <v>82</v>
      </c>
      <c r="B15" s="75"/>
      <c r="C15" s="64" t="s">
        <v>83</v>
      </c>
      <c r="D15" s="24"/>
      <c r="E15" s="24"/>
      <c r="F15" s="24"/>
      <c r="G15" s="24"/>
      <c r="H15" s="24"/>
      <c r="I15" s="24"/>
      <c r="J15" s="24"/>
      <c r="K15" s="24"/>
      <c r="L15" s="24"/>
      <c r="M15" s="24"/>
      <c r="N15" s="26"/>
    </row>
    <row r="16" ht="46.5" customHeight="1">
      <c r="A16" s="80"/>
      <c r="B16" s="81"/>
      <c r="C16" s="49"/>
      <c r="D16" s="49"/>
      <c r="E16" s="49"/>
      <c r="F16" s="49"/>
      <c r="G16" s="49"/>
      <c r="H16" s="49"/>
      <c r="I16" s="49"/>
      <c r="J16" s="49"/>
      <c r="K16" s="49"/>
      <c r="L16" s="49"/>
      <c r="M16" s="49"/>
      <c r="N16" s="81"/>
    </row>
    <row r="17" ht="18.0" customHeight="1">
      <c r="A17" s="82"/>
      <c r="B17" s="82"/>
      <c r="C17" s="82"/>
      <c r="D17" s="82"/>
      <c r="E17" s="82"/>
      <c r="F17" s="82"/>
      <c r="G17" s="82"/>
      <c r="H17" s="82"/>
      <c r="I17" s="82"/>
      <c r="J17" s="82"/>
      <c r="K17" s="82"/>
      <c r="L17" s="82"/>
      <c r="M17" s="82"/>
      <c r="N17" s="82"/>
    </row>
    <row r="18" ht="18.0" customHeight="1">
      <c r="A18" s="86" t="s">
        <v>86</v>
      </c>
      <c r="B18" s="66"/>
      <c r="C18" s="66"/>
      <c r="D18" s="66"/>
      <c r="E18" s="66"/>
      <c r="F18" s="66"/>
      <c r="G18" s="66"/>
      <c r="H18" s="66"/>
      <c r="I18" s="66"/>
      <c r="J18" s="66"/>
      <c r="K18" s="66"/>
      <c r="L18" s="66"/>
      <c r="M18" s="66"/>
      <c r="N18" s="66"/>
      <c r="O18" s="66"/>
      <c r="P18" s="35"/>
    </row>
    <row r="19" ht="24.0" customHeight="1">
      <c r="A19" s="87"/>
      <c r="B19" s="88"/>
      <c r="C19" s="88"/>
      <c r="D19" s="89"/>
      <c r="E19" s="82"/>
      <c r="F19" s="82"/>
      <c r="G19" s="87"/>
      <c r="H19" s="88"/>
      <c r="I19" s="88"/>
      <c r="J19" s="89"/>
      <c r="K19" s="82"/>
      <c r="L19" s="87"/>
      <c r="M19" s="88"/>
      <c r="N19" s="90"/>
      <c r="O19" s="91"/>
      <c r="P19" s="92"/>
    </row>
    <row r="20" ht="24.0" customHeight="1">
      <c r="A20" s="93"/>
      <c r="B20" s="82"/>
      <c r="C20" s="82"/>
      <c r="D20" s="94"/>
      <c r="E20" s="82"/>
      <c r="F20" s="82"/>
      <c r="G20" s="93"/>
      <c r="H20" s="82"/>
      <c r="I20" s="82"/>
      <c r="J20" s="94"/>
      <c r="K20" s="82"/>
      <c r="L20" s="93"/>
      <c r="M20" s="82"/>
      <c r="N20" s="95"/>
      <c r="O20" s="96"/>
      <c r="P20" s="97"/>
    </row>
    <row r="21" ht="24.0" customHeight="1">
      <c r="A21" s="93"/>
      <c r="B21" s="82"/>
      <c r="C21" s="82"/>
      <c r="D21" s="94"/>
      <c r="E21" s="82"/>
      <c r="F21" s="82"/>
      <c r="G21" s="93"/>
      <c r="H21" s="82"/>
      <c r="I21" s="82"/>
      <c r="J21" s="94"/>
      <c r="K21" s="82"/>
      <c r="L21" s="93"/>
      <c r="M21" s="82"/>
      <c r="N21" s="95"/>
      <c r="O21" s="96"/>
      <c r="P21" s="97"/>
    </row>
    <row r="22" ht="24.0" customHeight="1">
      <c r="A22" s="93"/>
      <c r="B22" s="82"/>
      <c r="C22" s="82"/>
      <c r="D22" s="94"/>
      <c r="E22" s="82"/>
      <c r="F22" s="82"/>
      <c r="G22" s="93"/>
      <c r="H22" s="82"/>
      <c r="I22" s="82"/>
      <c r="J22" s="94"/>
      <c r="K22" s="82"/>
      <c r="L22" s="93"/>
      <c r="M22" s="82"/>
      <c r="N22" s="95"/>
      <c r="O22" s="96"/>
      <c r="P22" s="97"/>
    </row>
    <row r="23" ht="24.0" customHeight="1">
      <c r="A23" s="93"/>
      <c r="B23" s="82"/>
      <c r="C23" s="82"/>
      <c r="D23" s="94"/>
      <c r="E23" s="82"/>
      <c r="F23" s="82"/>
      <c r="G23" s="93"/>
      <c r="H23" s="82"/>
      <c r="I23" s="82"/>
      <c r="J23" s="94"/>
      <c r="K23" s="82"/>
      <c r="L23" s="93"/>
      <c r="M23" s="82"/>
      <c r="N23" s="95"/>
      <c r="O23" s="96"/>
      <c r="P23" s="97"/>
    </row>
    <row r="24" ht="24.0" customHeight="1">
      <c r="A24" s="93"/>
      <c r="B24" s="82"/>
      <c r="C24" s="82"/>
      <c r="D24" s="94"/>
      <c r="E24" s="82"/>
      <c r="F24" s="82"/>
      <c r="G24" s="93"/>
      <c r="H24" s="82"/>
      <c r="I24" s="82"/>
      <c r="J24" s="94"/>
      <c r="K24" s="82"/>
      <c r="L24" s="93"/>
      <c r="M24" s="82"/>
      <c r="N24" s="95"/>
      <c r="O24" s="96"/>
      <c r="P24" s="97"/>
    </row>
    <row r="25" ht="24.0" customHeight="1">
      <c r="A25" s="93"/>
      <c r="B25" s="82"/>
      <c r="C25" s="82"/>
      <c r="D25" s="94"/>
      <c r="E25" s="82"/>
      <c r="F25" s="82"/>
      <c r="G25" s="93"/>
      <c r="H25" s="82"/>
      <c r="I25" s="82"/>
      <c r="J25" s="94"/>
      <c r="K25" s="82"/>
      <c r="L25" s="93"/>
      <c r="M25" s="82"/>
      <c r="N25" s="95"/>
      <c r="O25" s="96"/>
      <c r="P25" s="97"/>
    </row>
    <row r="26" ht="24.0" customHeight="1">
      <c r="A26" s="93"/>
      <c r="B26" s="82"/>
      <c r="C26" s="82"/>
      <c r="D26" s="94"/>
      <c r="E26" s="82"/>
      <c r="F26" s="82"/>
      <c r="G26" s="93"/>
      <c r="H26" s="82"/>
      <c r="I26" s="82"/>
      <c r="J26" s="94"/>
      <c r="K26" s="82"/>
      <c r="L26" s="93"/>
      <c r="M26" s="82"/>
      <c r="N26" s="95"/>
      <c r="O26" s="96"/>
      <c r="P26" s="97"/>
    </row>
    <row r="27" ht="24.0" customHeight="1">
      <c r="A27" s="93"/>
      <c r="B27" s="82"/>
      <c r="C27" s="82"/>
      <c r="D27" s="94"/>
      <c r="E27" s="82"/>
      <c r="F27" s="82"/>
      <c r="G27" s="93"/>
      <c r="H27" s="82"/>
      <c r="I27" s="82"/>
      <c r="J27" s="94"/>
      <c r="K27" s="82"/>
      <c r="L27" s="93"/>
      <c r="M27" s="82"/>
      <c r="N27" s="95"/>
      <c r="O27" s="96"/>
      <c r="P27" s="97"/>
    </row>
    <row r="28" ht="24.0" customHeight="1">
      <c r="A28" s="93"/>
      <c r="B28" s="82"/>
      <c r="C28" s="82"/>
      <c r="D28" s="94"/>
      <c r="E28" s="82"/>
      <c r="F28" s="82"/>
      <c r="G28" s="93"/>
      <c r="H28" s="82"/>
      <c r="I28" s="82"/>
      <c r="J28" s="94"/>
      <c r="K28" s="82"/>
      <c r="L28" s="93"/>
      <c r="M28" s="82"/>
      <c r="N28" s="95"/>
      <c r="O28" s="96"/>
      <c r="P28" s="97"/>
    </row>
    <row r="29" ht="24.0" customHeight="1">
      <c r="A29" s="93"/>
      <c r="B29" s="82"/>
      <c r="C29" s="82"/>
      <c r="D29" s="94"/>
      <c r="E29" s="82"/>
      <c r="F29" s="82"/>
      <c r="G29" s="93"/>
      <c r="H29" s="82"/>
      <c r="I29" s="82"/>
      <c r="J29" s="94"/>
      <c r="K29" s="82"/>
      <c r="L29" s="93"/>
      <c r="M29" s="82"/>
      <c r="N29" s="95"/>
      <c r="O29" s="96"/>
      <c r="P29" s="97"/>
    </row>
    <row r="30" ht="27.75" customHeight="1">
      <c r="A30" s="102" t="s">
        <v>117</v>
      </c>
      <c r="B30" s="103"/>
      <c r="C30" s="103"/>
      <c r="D30" s="104"/>
      <c r="E30" s="105"/>
      <c r="F30" s="105"/>
      <c r="G30" s="102" t="s">
        <v>122</v>
      </c>
      <c r="H30" s="103"/>
      <c r="I30" s="103"/>
      <c r="J30" s="104"/>
      <c r="K30" s="106"/>
      <c r="L30" s="102" t="s">
        <v>123</v>
      </c>
      <c r="M30" s="103"/>
      <c r="N30" s="103"/>
      <c r="O30" s="103"/>
      <c r="P30" s="104"/>
    </row>
    <row r="31" ht="21.75" customHeight="1">
      <c r="A31" s="108" t="s">
        <v>126</v>
      </c>
      <c r="B31" s="21"/>
      <c r="C31" s="21"/>
      <c r="D31" s="21"/>
      <c r="E31" s="21"/>
      <c r="F31" s="21"/>
      <c r="G31" s="21"/>
      <c r="H31" s="21"/>
      <c r="I31" s="21"/>
      <c r="J31" s="21"/>
      <c r="K31" s="21"/>
      <c r="L31" s="21"/>
      <c r="M31" s="21"/>
      <c r="N31" s="22"/>
    </row>
    <row r="32" ht="18.0" customHeight="1">
      <c r="A32" s="109"/>
      <c r="B32" s="82"/>
      <c r="C32" s="82"/>
      <c r="D32" s="82"/>
      <c r="E32" s="82"/>
      <c r="F32" s="82"/>
      <c r="G32" s="82"/>
      <c r="H32" s="82"/>
      <c r="I32" s="82"/>
      <c r="J32" s="82"/>
      <c r="K32" s="82"/>
      <c r="L32" s="82"/>
      <c r="M32" s="82"/>
      <c r="N32" s="95"/>
    </row>
    <row r="33" ht="18.0" customHeight="1">
      <c r="A33" s="109"/>
      <c r="B33" s="82"/>
      <c r="C33" s="82"/>
      <c r="D33" s="82"/>
      <c r="E33" s="82"/>
      <c r="F33" s="82"/>
      <c r="G33" s="82"/>
      <c r="H33" s="82"/>
      <c r="I33" s="82"/>
      <c r="J33" s="82"/>
      <c r="K33" s="82"/>
      <c r="L33" s="82"/>
      <c r="M33" s="82"/>
      <c r="N33" s="95"/>
    </row>
    <row r="34" ht="18.0" customHeight="1">
      <c r="A34" s="111" t="s">
        <v>145</v>
      </c>
      <c r="B34" s="112"/>
      <c r="C34" s="112"/>
      <c r="D34" s="112"/>
      <c r="E34" s="112"/>
      <c r="F34" s="112"/>
      <c r="G34" s="112"/>
      <c r="H34" s="112"/>
      <c r="I34" s="112"/>
      <c r="J34" s="112"/>
      <c r="K34" s="112"/>
      <c r="L34" s="112"/>
      <c r="M34" s="112"/>
      <c r="N34" s="114"/>
    </row>
    <row r="35" ht="21.0" customHeight="1">
      <c r="A35" s="116" t="s">
        <v>28</v>
      </c>
      <c r="B35" s="117"/>
      <c r="C35" s="118" t="s">
        <v>93</v>
      </c>
      <c r="D35" s="117"/>
      <c r="E35" s="119" t="s">
        <v>31</v>
      </c>
      <c r="F35" s="117"/>
      <c r="G35" s="121" t="s">
        <v>32</v>
      </c>
      <c r="H35" s="117"/>
      <c r="I35" s="119" t="s">
        <v>34</v>
      </c>
      <c r="J35" s="117"/>
      <c r="K35" s="121" t="s">
        <v>35</v>
      </c>
      <c r="L35" s="117"/>
      <c r="M35" s="125" t="s">
        <v>37</v>
      </c>
      <c r="N35" s="126" t="s">
        <v>39</v>
      </c>
    </row>
    <row r="36" ht="19.5" customHeight="1">
      <c r="A36" s="128" t="s">
        <v>40</v>
      </c>
      <c r="B36" s="10"/>
      <c r="C36" s="45" t="s">
        <v>159</v>
      </c>
      <c r="D36" s="7"/>
      <c r="E36" s="7"/>
      <c r="F36" s="10"/>
      <c r="G36" s="31" t="s">
        <v>44</v>
      </c>
      <c r="H36" s="10"/>
      <c r="I36" s="45" t="s">
        <v>46</v>
      </c>
      <c r="J36" s="7"/>
      <c r="K36" s="7"/>
      <c r="L36" s="7"/>
      <c r="M36" s="7"/>
      <c r="N36" s="47"/>
    </row>
    <row r="37" ht="15.75" customHeight="1">
      <c r="A37" s="133" t="s">
        <v>48</v>
      </c>
      <c r="B37" s="54"/>
      <c r="C37" s="135" t="s">
        <v>166</v>
      </c>
      <c r="D37" s="52"/>
      <c r="E37" s="52"/>
      <c r="F37" s="54"/>
      <c r="G37" s="56" t="s">
        <v>51</v>
      </c>
      <c r="H37" s="54"/>
      <c r="I37" s="59" t="s">
        <v>168</v>
      </c>
      <c r="J37" s="52"/>
      <c r="K37" s="52"/>
      <c r="L37" s="52"/>
      <c r="M37" s="52"/>
      <c r="N37" s="60"/>
    </row>
    <row r="38" ht="22.5" customHeight="1">
      <c r="A38" s="61" t="s">
        <v>64</v>
      </c>
      <c r="B38" s="26"/>
      <c r="C38" s="144" t="s">
        <v>188</v>
      </c>
      <c r="D38" s="24"/>
      <c r="E38" s="24"/>
      <c r="F38" s="24"/>
      <c r="G38" s="24"/>
      <c r="H38" s="24"/>
      <c r="I38" s="24"/>
      <c r="J38" s="24"/>
      <c r="K38" s="24"/>
      <c r="L38" s="24"/>
      <c r="M38" s="24"/>
      <c r="N38" s="26"/>
    </row>
    <row r="39" ht="21.0" customHeight="1">
      <c r="A39" s="67"/>
      <c r="B39" s="68"/>
      <c r="C39" s="67"/>
      <c r="N39" s="68"/>
    </row>
    <row r="40" ht="21.0" customHeight="1">
      <c r="A40" s="80"/>
      <c r="B40" s="81"/>
      <c r="C40" s="80"/>
      <c r="D40" s="49"/>
      <c r="E40" s="49"/>
      <c r="F40" s="49"/>
      <c r="G40" s="49"/>
      <c r="H40" s="49"/>
      <c r="I40" s="49"/>
      <c r="J40" s="49"/>
      <c r="K40" s="49"/>
      <c r="L40" s="49"/>
      <c r="M40" s="49"/>
      <c r="N40" s="81"/>
    </row>
    <row r="41" ht="15.75" customHeight="1">
      <c r="A41" s="61" t="s">
        <v>71</v>
      </c>
      <c r="B41" s="26"/>
      <c r="C41" s="144" t="s">
        <v>199</v>
      </c>
      <c r="D41" s="24"/>
      <c r="E41" s="24"/>
      <c r="F41" s="24"/>
      <c r="G41" s="24"/>
      <c r="H41" s="24"/>
      <c r="I41" s="24"/>
      <c r="J41" s="24"/>
      <c r="K41" s="24"/>
      <c r="L41" s="24"/>
      <c r="M41" s="24"/>
      <c r="N41" s="26"/>
    </row>
    <row r="42" ht="61.5" customHeight="1">
      <c r="A42" s="80"/>
      <c r="B42" s="81"/>
      <c r="C42" s="80"/>
      <c r="D42" s="49"/>
      <c r="E42" s="49"/>
      <c r="F42" s="49"/>
      <c r="G42" s="49"/>
      <c r="H42" s="49"/>
      <c r="I42" s="49"/>
      <c r="J42" s="49"/>
      <c r="K42" s="49"/>
      <c r="L42" s="49"/>
      <c r="M42" s="49"/>
      <c r="N42" s="81"/>
    </row>
    <row r="43" ht="18.0" customHeight="1">
      <c r="A43" s="61" t="s">
        <v>79</v>
      </c>
      <c r="B43" s="26"/>
      <c r="C43" s="144" t="s">
        <v>207</v>
      </c>
      <c r="D43" s="24"/>
      <c r="E43" s="24"/>
      <c r="F43" s="24"/>
      <c r="G43" s="24"/>
      <c r="H43" s="24"/>
      <c r="I43" s="24"/>
      <c r="J43" s="24"/>
      <c r="K43" s="24"/>
      <c r="L43" s="24"/>
      <c r="M43" s="24"/>
      <c r="N43" s="26"/>
    </row>
    <row r="44" ht="31.5" customHeight="1">
      <c r="A44" s="80"/>
      <c r="B44" s="81"/>
      <c r="C44" s="80"/>
      <c r="D44" s="49"/>
      <c r="E44" s="49"/>
      <c r="F44" s="49"/>
      <c r="G44" s="49"/>
      <c r="H44" s="49"/>
      <c r="I44" s="49"/>
      <c r="J44" s="49"/>
      <c r="K44" s="49"/>
      <c r="L44" s="49"/>
      <c r="M44" s="49"/>
      <c r="N44" s="81"/>
    </row>
    <row r="45" ht="18.0" customHeight="1">
      <c r="A45" s="61" t="s">
        <v>82</v>
      </c>
      <c r="B45" s="26"/>
      <c r="C45" s="144" t="s">
        <v>212</v>
      </c>
      <c r="D45" s="24"/>
      <c r="E45" s="24"/>
      <c r="F45" s="24"/>
      <c r="G45" s="24"/>
      <c r="H45" s="24"/>
      <c r="I45" s="24"/>
      <c r="J45" s="24"/>
      <c r="K45" s="24"/>
      <c r="L45" s="24"/>
      <c r="M45" s="24"/>
      <c r="N45" s="26"/>
    </row>
    <row r="46" ht="72.0" customHeight="1">
      <c r="A46" s="80"/>
      <c r="B46" s="81"/>
      <c r="C46" s="80"/>
      <c r="D46" s="49"/>
      <c r="E46" s="49"/>
      <c r="F46" s="49"/>
      <c r="G46" s="49"/>
      <c r="H46" s="49"/>
      <c r="I46" s="49"/>
      <c r="J46" s="49"/>
      <c r="K46" s="49"/>
      <c r="L46" s="49"/>
      <c r="M46" s="49"/>
      <c r="N46" s="81"/>
    </row>
    <row r="47" ht="18.0" customHeight="1">
      <c r="A47" s="82"/>
      <c r="B47" s="82"/>
      <c r="C47" s="82"/>
      <c r="D47" s="82"/>
      <c r="E47" s="82"/>
      <c r="F47" s="82"/>
      <c r="G47" s="82"/>
      <c r="H47" s="82"/>
      <c r="I47" s="82"/>
      <c r="J47" s="82"/>
      <c r="K47" s="82"/>
      <c r="L47" s="82"/>
      <c r="M47" s="82"/>
      <c r="N47" s="82"/>
    </row>
    <row r="48" ht="34.5" customHeight="1">
      <c r="A48" s="82"/>
      <c r="B48" s="82"/>
      <c r="C48" s="82"/>
      <c r="D48" s="82"/>
      <c r="E48" s="82"/>
      <c r="F48" s="82"/>
      <c r="G48" s="82"/>
      <c r="H48" s="82"/>
      <c r="I48" s="82"/>
      <c r="J48" s="82"/>
      <c r="K48" s="82"/>
      <c r="L48" s="82"/>
      <c r="M48" s="82"/>
      <c r="N48" s="82"/>
    </row>
    <row r="49" ht="18.0" customHeight="1">
      <c r="A49" s="82"/>
      <c r="B49" s="82"/>
      <c r="C49" s="82"/>
      <c r="D49" s="82"/>
      <c r="E49" s="82"/>
      <c r="F49" s="82"/>
      <c r="G49" s="82"/>
      <c r="H49" s="82"/>
      <c r="I49" s="82"/>
      <c r="J49" s="82"/>
      <c r="K49" s="82"/>
      <c r="L49" s="82"/>
      <c r="M49" s="82"/>
      <c r="N49" s="82"/>
    </row>
    <row r="50" ht="46.5" customHeight="1">
      <c r="A50" s="82"/>
      <c r="B50" s="82"/>
      <c r="C50" s="82"/>
      <c r="D50" s="82"/>
      <c r="E50" s="82"/>
      <c r="F50" s="82"/>
      <c r="G50" s="82"/>
      <c r="H50" s="82"/>
      <c r="I50" s="82"/>
      <c r="J50" s="82"/>
      <c r="K50" s="82"/>
      <c r="L50" s="82"/>
      <c r="M50" s="82"/>
      <c r="N50" s="82"/>
    </row>
    <row r="51" ht="18.0" customHeight="1">
      <c r="A51" s="82"/>
      <c r="B51" s="82"/>
      <c r="C51" s="82"/>
      <c r="D51" s="82"/>
      <c r="E51" s="82"/>
      <c r="F51" s="82"/>
      <c r="G51" s="82"/>
      <c r="H51" s="82"/>
      <c r="I51" s="82"/>
      <c r="J51" s="82"/>
      <c r="K51" s="82"/>
      <c r="L51" s="82"/>
      <c r="M51" s="82"/>
      <c r="N51" s="82"/>
    </row>
    <row r="52" ht="18.0" customHeight="1">
      <c r="A52" s="82"/>
      <c r="B52" s="82"/>
      <c r="C52" s="82"/>
      <c r="D52" s="82"/>
      <c r="E52" s="82"/>
      <c r="F52" s="82"/>
      <c r="G52" s="82"/>
      <c r="H52" s="82"/>
      <c r="I52" s="82"/>
      <c r="J52" s="82"/>
      <c r="K52" s="82"/>
      <c r="L52" s="82"/>
      <c r="M52" s="82"/>
      <c r="N52" s="82"/>
    </row>
    <row r="53" ht="18.0" customHeight="1">
      <c r="A53" s="86" t="s">
        <v>244</v>
      </c>
      <c r="B53" s="66"/>
      <c r="C53" s="66"/>
      <c r="D53" s="66"/>
      <c r="E53" s="66"/>
      <c r="F53" s="66"/>
      <c r="G53" s="66"/>
      <c r="H53" s="66"/>
      <c r="I53" s="66"/>
      <c r="J53" s="66"/>
      <c r="K53" s="66"/>
      <c r="L53" s="66"/>
      <c r="M53" s="66"/>
      <c r="N53" s="66"/>
      <c r="O53" s="66"/>
      <c r="P53" s="35"/>
    </row>
    <row r="54" ht="21.75" customHeight="1">
      <c r="A54" s="87"/>
      <c r="B54" s="88"/>
      <c r="C54" s="88"/>
      <c r="D54" s="89"/>
      <c r="E54" s="82"/>
      <c r="F54" s="82"/>
      <c r="G54" s="87"/>
      <c r="H54" s="88"/>
      <c r="I54" s="88"/>
      <c r="J54" s="89"/>
      <c r="K54" s="82"/>
      <c r="L54" s="87"/>
      <c r="M54" s="88"/>
      <c r="N54" s="90"/>
      <c r="O54" s="91"/>
      <c r="P54" s="92"/>
    </row>
    <row r="55" ht="21.75" customHeight="1">
      <c r="A55" s="93"/>
      <c r="B55" s="82"/>
      <c r="C55" s="82"/>
      <c r="D55" s="94"/>
      <c r="E55" s="82"/>
      <c r="F55" s="82"/>
      <c r="G55" s="93"/>
      <c r="H55" s="82"/>
      <c r="I55" s="82"/>
      <c r="J55" s="94"/>
      <c r="K55" s="82"/>
      <c r="L55" s="93"/>
      <c r="M55" s="82"/>
      <c r="N55" s="95"/>
      <c r="O55" s="96"/>
      <c r="P55" s="97"/>
    </row>
    <row r="56" ht="21.75" customHeight="1">
      <c r="A56" s="93"/>
      <c r="B56" s="82"/>
      <c r="C56" s="82"/>
      <c r="D56" s="94"/>
      <c r="E56" s="82"/>
      <c r="F56" s="82"/>
      <c r="G56" s="93"/>
      <c r="H56" s="82"/>
      <c r="I56" s="82"/>
      <c r="J56" s="94"/>
      <c r="K56" s="82"/>
      <c r="L56" s="93"/>
      <c r="M56" s="82"/>
      <c r="N56" s="95"/>
      <c r="O56" s="96"/>
      <c r="P56" s="97"/>
    </row>
    <row r="57" ht="21.75" customHeight="1">
      <c r="A57" s="93"/>
      <c r="B57" s="82"/>
      <c r="C57" s="82"/>
      <c r="D57" s="94"/>
      <c r="E57" s="82"/>
      <c r="F57" s="82"/>
      <c r="G57" s="93"/>
      <c r="H57" s="82"/>
      <c r="I57" s="82"/>
      <c r="J57" s="94"/>
      <c r="K57" s="82"/>
      <c r="L57" s="93"/>
      <c r="M57" s="82"/>
      <c r="N57" s="95"/>
      <c r="O57" s="96"/>
      <c r="P57" s="97"/>
    </row>
    <row r="58" ht="21.75" customHeight="1">
      <c r="A58" s="93"/>
      <c r="B58" s="82"/>
      <c r="C58" s="82"/>
      <c r="D58" s="94"/>
      <c r="E58" s="82"/>
      <c r="F58" s="82"/>
      <c r="G58" s="93"/>
      <c r="H58" s="82"/>
      <c r="I58" s="82"/>
      <c r="J58" s="94"/>
      <c r="K58" s="82"/>
      <c r="L58" s="93"/>
      <c r="M58" s="82"/>
      <c r="N58" s="95"/>
      <c r="O58" s="96"/>
      <c r="P58" s="97"/>
    </row>
    <row r="59" ht="21.75" customHeight="1">
      <c r="A59" s="93"/>
      <c r="B59" s="82"/>
      <c r="C59" s="82"/>
      <c r="D59" s="94"/>
      <c r="E59" s="82"/>
      <c r="F59" s="82"/>
      <c r="G59" s="93"/>
      <c r="H59" s="82"/>
      <c r="I59" s="82"/>
      <c r="J59" s="94"/>
      <c r="K59" s="82"/>
      <c r="L59" s="93"/>
      <c r="M59" s="82"/>
      <c r="N59" s="95"/>
      <c r="O59" s="96"/>
      <c r="P59" s="97"/>
    </row>
    <row r="60" ht="21.75" customHeight="1">
      <c r="A60" s="93"/>
      <c r="B60" s="82"/>
      <c r="C60" s="82"/>
      <c r="D60" s="94"/>
      <c r="E60" s="82"/>
      <c r="F60" s="82"/>
      <c r="G60" s="93"/>
      <c r="H60" s="82"/>
      <c r="I60" s="82"/>
      <c r="J60" s="94"/>
      <c r="K60" s="82"/>
      <c r="L60" s="93"/>
      <c r="M60" s="82"/>
      <c r="N60" s="95"/>
      <c r="O60" s="96"/>
      <c r="P60" s="97"/>
    </row>
    <row r="61" ht="21.75" customHeight="1">
      <c r="A61" s="93"/>
      <c r="B61" s="82"/>
      <c r="C61" s="82"/>
      <c r="D61" s="94"/>
      <c r="E61" s="82"/>
      <c r="F61" s="82"/>
      <c r="G61" s="93"/>
      <c r="H61" s="82"/>
      <c r="I61" s="82"/>
      <c r="J61" s="94"/>
      <c r="K61" s="82"/>
      <c r="L61" s="93"/>
      <c r="M61" s="82"/>
      <c r="N61" s="95"/>
      <c r="O61" s="96"/>
      <c r="P61" s="97"/>
    </row>
    <row r="62" ht="21.75" customHeight="1">
      <c r="A62" s="93"/>
      <c r="B62" s="82"/>
      <c r="C62" s="82"/>
      <c r="D62" s="94"/>
      <c r="E62" s="82"/>
      <c r="F62" s="82"/>
      <c r="G62" s="93"/>
      <c r="H62" s="82"/>
      <c r="I62" s="82"/>
      <c r="J62" s="94"/>
      <c r="K62" s="82"/>
      <c r="L62" s="93"/>
      <c r="M62" s="82"/>
      <c r="N62" s="95"/>
      <c r="O62" s="96"/>
      <c r="P62" s="97"/>
    </row>
    <row r="63" ht="21.75" customHeight="1">
      <c r="A63" s="93"/>
      <c r="B63" s="82"/>
      <c r="C63" s="82"/>
      <c r="D63" s="94"/>
      <c r="E63" s="82"/>
      <c r="F63" s="82"/>
      <c r="G63" s="93"/>
      <c r="H63" s="82"/>
      <c r="I63" s="82"/>
      <c r="J63" s="94"/>
      <c r="K63" s="82"/>
      <c r="L63" s="93"/>
      <c r="M63" s="82"/>
      <c r="N63" s="95"/>
      <c r="O63" s="96"/>
      <c r="P63" s="97"/>
    </row>
    <row r="64" ht="21.75" customHeight="1">
      <c r="A64" s="93"/>
      <c r="B64" s="82"/>
      <c r="C64" s="82"/>
      <c r="D64" s="94"/>
      <c r="E64" s="82"/>
      <c r="F64" s="82"/>
      <c r="G64" s="93"/>
      <c r="H64" s="82"/>
      <c r="I64" s="82"/>
      <c r="J64" s="94"/>
      <c r="K64" s="82"/>
      <c r="L64" s="93"/>
      <c r="M64" s="82"/>
      <c r="N64" s="95"/>
      <c r="O64" s="96"/>
      <c r="P64" s="97"/>
    </row>
    <row r="65" ht="27.75" customHeight="1">
      <c r="A65" s="102" t="s">
        <v>291</v>
      </c>
      <c r="B65" s="103"/>
      <c r="C65" s="103"/>
      <c r="D65" s="104"/>
      <c r="E65" s="105"/>
      <c r="F65" s="106"/>
      <c r="G65" s="102" t="s">
        <v>295</v>
      </c>
      <c r="H65" s="103"/>
      <c r="I65" s="103"/>
      <c r="J65" s="104"/>
      <c r="K65" s="106"/>
      <c r="L65" s="102" t="s">
        <v>299</v>
      </c>
      <c r="M65" s="103"/>
      <c r="N65" s="103"/>
      <c r="O65" s="103"/>
      <c r="P65" s="104"/>
    </row>
    <row r="66" ht="21.75" customHeight="1">
      <c r="A66" s="108" t="s">
        <v>303</v>
      </c>
      <c r="B66" s="21"/>
      <c r="C66" s="21"/>
      <c r="D66" s="21"/>
      <c r="E66" s="21"/>
      <c r="F66" s="21"/>
      <c r="G66" s="21"/>
      <c r="H66" s="21"/>
      <c r="I66" s="21"/>
      <c r="J66" s="21"/>
      <c r="K66" s="21"/>
      <c r="L66" s="21"/>
      <c r="M66" s="21"/>
      <c r="N66" s="22"/>
    </row>
    <row r="67" ht="18.0" customHeight="1">
      <c r="A67" s="109"/>
      <c r="B67" s="82"/>
      <c r="C67" s="82"/>
      <c r="D67" s="82"/>
      <c r="E67" s="82"/>
      <c r="F67" s="82"/>
      <c r="G67" s="82"/>
      <c r="H67" s="82"/>
      <c r="I67" s="82"/>
      <c r="J67" s="82"/>
      <c r="K67" s="82"/>
      <c r="L67" s="82"/>
      <c r="M67" s="82"/>
      <c r="N67" s="95"/>
    </row>
    <row r="68" ht="18.0" customHeight="1">
      <c r="A68" s="109"/>
      <c r="B68" s="82"/>
      <c r="C68" s="82"/>
      <c r="D68" s="82"/>
      <c r="E68" s="82"/>
      <c r="F68" s="82"/>
      <c r="G68" s="82"/>
      <c r="H68" s="82"/>
      <c r="I68" s="82"/>
      <c r="J68" s="82"/>
      <c r="K68" s="82"/>
      <c r="L68" s="82"/>
      <c r="M68" s="82"/>
      <c r="N68" s="95"/>
    </row>
    <row r="69" ht="21.0" customHeight="1">
      <c r="A69" s="149"/>
      <c r="B69" s="106"/>
      <c r="C69" s="106"/>
      <c r="D69" s="106"/>
      <c r="E69" s="106"/>
      <c r="F69" s="106"/>
      <c r="G69" s="106"/>
      <c r="H69" s="106"/>
      <c r="I69" s="106"/>
      <c r="J69" s="106"/>
      <c r="K69" s="106"/>
      <c r="L69" s="106"/>
      <c r="M69" s="153"/>
      <c r="N69" s="95"/>
    </row>
    <row r="70" ht="19.5" customHeight="1">
      <c r="A70" s="155"/>
      <c r="B70" s="156"/>
      <c r="C70" s="156"/>
      <c r="D70" s="156"/>
      <c r="E70" s="156"/>
      <c r="F70" s="156"/>
      <c r="G70" s="156"/>
      <c r="H70" s="156"/>
      <c r="I70" s="156"/>
      <c r="J70" s="156"/>
      <c r="K70" s="156"/>
      <c r="L70" s="156"/>
      <c r="M70" s="156"/>
      <c r="N70" s="160"/>
    </row>
    <row r="71" ht="18.0" customHeight="1">
      <c r="A71" s="82"/>
      <c r="B71" s="82"/>
      <c r="C71" s="82"/>
      <c r="D71" s="82"/>
      <c r="E71" s="82"/>
      <c r="F71" s="82"/>
      <c r="G71" s="82"/>
      <c r="H71" s="82"/>
      <c r="I71" s="82"/>
      <c r="J71" s="82"/>
      <c r="K71" s="82"/>
      <c r="L71" s="82"/>
      <c r="M71" s="82"/>
      <c r="N71" s="82"/>
    </row>
    <row r="72" ht="18.0" customHeight="1">
      <c r="A72" s="82"/>
      <c r="B72" s="82"/>
      <c r="C72" s="82"/>
      <c r="D72" s="82"/>
      <c r="E72" s="82"/>
      <c r="F72" s="82"/>
      <c r="G72" s="82"/>
      <c r="H72" s="82"/>
      <c r="I72" s="82"/>
      <c r="J72" s="82"/>
      <c r="K72" s="82"/>
      <c r="L72" s="82"/>
      <c r="M72" s="82"/>
      <c r="N72" s="82"/>
    </row>
    <row r="73" ht="18.0" customHeight="1">
      <c r="A73" s="82"/>
      <c r="B73" s="82"/>
      <c r="C73" s="82"/>
      <c r="D73" s="82"/>
      <c r="E73" s="82"/>
      <c r="F73" s="82"/>
      <c r="G73" s="82"/>
      <c r="H73" s="82"/>
      <c r="I73" s="82"/>
      <c r="J73" s="82"/>
      <c r="K73" s="82"/>
      <c r="L73" s="82"/>
      <c r="M73" s="82"/>
      <c r="N73" s="82"/>
    </row>
    <row r="74" ht="18.0" customHeight="1">
      <c r="A74" s="82"/>
      <c r="B74" s="82"/>
      <c r="C74" s="82"/>
      <c r="D74" s="82"/>
      <c r="E74" s="82"/>
      <c r="F74" s="82"/>
      <c r="G74" s="82"/>
      <c r="H74" s="82"/>
      <c r="I74" s="82"/>
      <c r="J74" s="82"/>
      <c r="K74" s="82"/>
      <c r="L74" s="82"/>
      <c r="M74" s="82"/>
      <c r="N74" s="82"/>
    </row>
    <row r="75" ht="18.0" customHeight="1">
      <c r="A75" s="82"/>
      <c r="B75" s="82"/>
      <c r="C75" s="82"/>
      <c r="D75" s="82"/>
      <c r="E75" s="82"/>
      <c r="F75" s="82"/>
      <c r="G75" s="82"/>
      <c r="H75" s="82"/>
      <c r="I75" s="82"/>
      <c r="J75" s="82"/>
      <c r="K75" s="82"/>
      <c r="L75" s="82"/>
      <c r="M75" s="82"/>
      <c r="N75" s="82"/>
    </row>
    <row r="76" ht="18.0" customHeight="1">
      <c r="A76" s="82"/>
      <c r="B76" s="82"/>
      <c r="C76" s="82"/>
      <c r="D76" s="82"/>
      <c r="E76" s="82"/>
      <c r="F76" s="82"/>
      <c r="G76" s="82"/>
      <c r="H76" s="82"/>
      <c r="I76" s="82"/>
      <c r="J76" s="82"/>
      <c r="K76" s="82"/>
      <c r="L76" s="82"/>
      <c r="M76" s="82"/>
      <c r="N76" s="82"/>
    </row>
    <row r="77" ht="18.0" customHeight="1">
      <c r="A77" s="82"/>
      <c r="B77" s="82"/>
      <c r="C77" s="82"/>
      <c r="D77" s="82"/>
      <c r="E77" s="82"/>
      <c r="F77" s="82"/>
      <c r="G77" s="82"/>
      <c r="H77" s="82"/>
      <c r="I77" s="82"/>
      <c r="J77" s="82"/>
      <c r="K77" s="82"/>
      <c r="L77" s="82"/>
      <c r="M77" s="82"/>
      <c r="N77" s="82"/>
    </row>
    <row r="78" ht="18.0" customHeight="1">
      <c r="A78" s="82"/>
      <c r="B78" s="82"/>
      <c r="C78" s="82"/>
      <c r="D78" s="82"/>
      <c r="E78" s="82"/>
      <c r="F78" s="82"/>
      <c r="G78" s="82"/>
      <c r="H78" s="82"/>
      <c r="I78" s="82"/>
      <c r="J78" s="82"/>
      <c r="K78" s="82"/>
      <c r="L78" s="82"/>
      <c r="M78" s="82"/>
      <c r="N78" s="82"/>
    </row>
    <row r="79" ht="18.0" customHeight="1">
      <c r="A79" s="82"/>
      <c r="B79" s="82"/>
      <c r="C79" s="82"/>
      <c r="D79" s="82"/>
      <c r="E79" s="82"/>
      <c r="F79" s="82"/>
      <c r="G79" s="82"/>
      <c r="H79" s="82"/>
      <c r="I79" s="82"/>
      <c r="J79" s="82"/>
      <c r="K79" s="82"/>
      <c r="L79" s="82"/>
      <c r="M79" s="82"/>
      <c r="N79" s="82"/>
    </row>
    <row r="80" ht="18.0" customHeight="1">
      <c r="A80" s="82"/>
      <c r="B80" s="82"/>
      <c r="C80" s="82"/>
      <c r="D80" s="82"/>
      <c r="E80" s="82"/>
      <c r="F80" s="82"/>
      <c r="G80" s="82"/>
      <c r="H80" s="82"/>
      <c r="I80" s="82"/>
      <c r="J80" s="82"/>
      <c r="K80" s="82"/>
      <c r="L80" s="82"/>
      <c r="M80" s="82"/>
      <c r="N80" s="82"/>
    </row>
    <row r="81" ht="18.0" customHeight="1">
      <c r="A81" s="82"/>
      <c r="B81" s="82"/>
      <c r="C81" s="82"/>
      <c r="D81" s="82"/>
      <c r="E81" s="82"/>
      <c r="F81" s="82"/>
      <c r="G81" s="82"/>
      <c r="H81" s="82"/>
      <c r="I81" s="82"/>
      <c r="J81" s="82"/>
      <c r="K81" s="82"/>
      <c r="L81" s="82"/>
      <c r="M81" s="82"/>
      <c r="N81" s="82"/>
    </row>
    <row r="82" ht="18.0" customHeight="1">
      <c r="A82" s="82"/>
      <c r="B82" s="82"/>
      <c r="C82" s="82"/>
      <c r="D82" s="82"/>
      <c r="E82" s="82"/>
      <c r="F82" s="82"/>
      <c r="G82" s="82"/>
      <c r="H82" s="82"/>
      <c r="I82" s="82"/>
      <c r="J82" s="82"/>
      <c r="K82" s="82"/>
      <c r="L82" s="82"/>
      <c r="M82" s="82"/>
      <c r="N82" s="82"/>
    </row>
    <row r="83" ht="18.0" customHeight="1">
      <c r="A83" s="82"/>
      <c r="B83" s="82"/>
      <c r="C83" s="82"/>
      <c r="D83" s="82"/>
      <c r="E83" s="82"/>
      <c r="F83" s="82"/>
      <c r="G83" s="82"/>
      <c r="H83" s="82"/>
      <c r="I83" s="82"/>
      <c r="J83" s="82"/>
      <c r="K83" s="82"/>
      <c r="L83" s="82"/>
      <c r="M83" s="82"/>
      <c r="N83" s="82"/>
    </row>
    <row r="84" ht="18.0" customHeight="1">
      <c r="A84" s="82"/>
      <c r="B84" s="82"/>
      <c r="C84" s="82"/>
      <c r="D84" s="82"/>
      <c r="E84" s="82"/>
      <c r="F84" s="82"/>
      <c r="G84" s="82"/>
      <c r="H84" s="82"/>
      <c r="I84" s="82"/>
      <c r="J84" s="82"/>
      <c r="K84" s="82"/>
      <c r="L84" s="82"/>
      <c r="M84" s="82"/>
      <c r="N84" s="82"/>
    </row>
    <row r="85" ht="18.0" customHeight="1">
      <c r="A85" s="82"/>
      <c r="B85" s="82"/>
      <c r="C85" s="82"/>
      <c r="D85" s="82"/>
      <c r="E85" s="82"/>
      <c r="F85" s="82"/>
      <c r="G85" s="82"/>
      <c r="H85" s="82"/>
      <c r="I85" s="82"/>
      <c r="J85" s="82"/>
      <c r="K85" s="82"/>
      <c r="L85" s="82"/>
      <c r="M85" s="82"/>
      <c r="N85" s="82"/>
    </row>
    <row r="86" ht="18.0" customHeight="1">
      <c r="A86" s="82"/>
      <c r="B86" s="82"/>
      <c r="C86" s="82"/>
      <c r="D86" s="82"/>
      <c r="E86" s="82"/>
      <c r="F86" s="82"/>
      <c r="G86" s="82"/>
      <c r="H86" s="82"/>
      <c r="I86" s="82"/>
      <c r="J86" s="82"/>
      <c r="K86" s="82"/>
      <c r="L86" s="82"/>
      <c r="M86" s="82"/>
      <c r="N86" s="82"/>
    </row>
    <row r="87" ht="18.0" customHeight="1">
      <c r="A87" s="82"/>
      <c r="B87" s="82"/>
      <c r="C87" s="82"/>
      <c r="D87" s="82"/>
      <c r="E87" s="82"/>
      <c r="F87" s="82"/>
      <c r="G87" s="82"/>
      <c r="H87" s="82"/>
      <c r="I87" s="82"/>
      <c r="J87" s="82"/>
      <c r="K87" s="82"/>
      <c r="L87" s="82"/>
      <c r="M87" s="82"/>
      <c r="N87" s="82"/>
    </row>
    <row r="88" ht="18.0" customHeight="1">
      <c r="A88" s="82"/>
      <c r="B88" s="82"/>
      <c r="C88" s="82"/>
      <c r="D88" s="82"/>
      <c r="E88" s="82"/>
      <c r="F88" s="82"/>
      <c r="G88" s="82"/>
      <c r="H88" s="82"/>
      <c r="I88" s="82"/>
      <c r="J88" s="82"/>
      <c r="K88" s="82"/>
      <c r="L88" s="82"/>
      <c r="M88" s="82"/>
      <c r="N88" s="82"/>
    </row>
    <row r="89" ht="18.0" customHeight="1">
      <c r="A89" s="82"/>
      <c r="B89" s="82"/>
      <c r="C89" s="82"/>
      <c r="D89" s="82"/>
      <c r="E89" s="82"/>
      <c r="F89" s="82"/>
      <c r="G89" s="82"/>
      <c r="H89" s="82"/>
      <c r="I89" s="82"/>
      <c r="J89" s="82"/>
      <c r="K89" s="82"/>
      <c r="L89" s="82"/>
      <c r="M89" s="82"/>
      <c r="N89" s="82"/>
    </row>
    <row r="90" ht="18.0" customHeight="1">
      <c r="A90" s="82"/>
      <c r="B90" s="82"/>
      <c r="C90" s="82"/>
      <c r="D90" s="82"/>
      <c r="E90" s="82"/>
      <c r="F90" s="82"/>
      <c r="G90" s="82"/>
      <c r="H90" s="82"/>
      <c r="I90" s="82"/>
      <c r="J90" s="82"/>
      <c r="K90" s="82"/>
      <c r="L90" s="82"/>
      <c r="M90" s="82"/>
      <c r="N90" s="82"/>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30:J30"/>
    <mergeCell ref="A31:N31"/>
    <mergeCell ref="A34:N34"/>
    <mergeCell ref="A35:B35"/>
    <mergeCell ref="C35:D35"/>
    <mergeCell ref="E35:F35"/>
    <mergeCell ref="G35:H35"/>
    <mergeCell ref="A36:B36"/>
    <mergeCell ref="C36:F36"/>
    <mergeCell ref="G36:H36"/>
    <mergeCell ref="I36:N36"/>
    <mergeCell ref="C37:F37"/>
    <mergeCell ref="G37:H37"/>
    <mergeCell ref="I37:N37"/>
    <mergeCell ref="I5:J5"/>
    <mergeCell ref="K5:L5"/>
    <mergeCell ref="A1:N1"/>
    <mergeCell ref="A2:N2"/>
    <mergeCell ref="A4:N4"/>
    <mergeCell ref="A5:B5"/>
    <mergeCell ref="C5:D5"/>
    <mergeCell ref="E5:F5"/>
    <mergeCell ref="G5:H5"/>
    <mergeCell ref="C8:N10"/>
    <mergeCell ref="C11:N12"/>
    <mergeCell ref="C13:N14"/>
    <mergeCell ref="C15:N16"/>
    <mergeCell ref="A18:P18"/>
    <mergeCell ref="A6:B6"/>
    <mergeCell ref="C6:F6"/>
    <mergeCell ref="G6:H6"/>
    <mergeCell ref="I6:N6"/>
    <mergeCell ref="C7:F7"/>
    <mergeCell ref="G7:H7"/>
    <mergeCell ref="I7:N7"/>
    <mergeCell ref="A7:B7"/>
    <mergeCell ref="A8:B10"/>
    <mergeCell ref="A11:B12"/>
    <mergeCell ref="A13:B14"/>
    <mergeCell ref="A15:B16"/>
    <mergeCell ref="A30:D30"/>
    <mergeCell ref="L30:P30"/>
    <mergeCell ref="I35:J35"/>
    <mergeCell ref="K35:L35"/>
    <mergeCell ref="A45:B46"/>
    <mergeCell ref="C45:N46"/>
    <mergeCell ref="A53:P53"/>
    <mergeCell ref="A65:D65"/>
    <mergeCell ref="G65:J65"/>
    <mergeCell ref="L65:P65"/>
    <mergeCell ref="A66:N66"/>
    <mergeCell ref="A37:B37"/>
    <mergeCell ref="A38:B40"/>
    <mergeCell ref="C38:N40"/>
    <mergeCell ref="A41:B42"/>
    <mergeCell ref="C41:N42"/>
    <mergeCell ref="A43:B44"/>
    <mergeCell ref="C43:N44"/>
  </mergeCells>
  <hyperlinks>
    <hyperlink r:id="rId1" ref="I7"/>
    <hyperlink r:id="rId2" ref="A31"/>
    <hyperlink r:id="rId3" ref="I37"/>
    <hyperlink r:id="rId4" ref="A66"/>
  </hyperlinks>
  <printOptions/>
  <pageMargins bottom="0.75" footer="0.0" header="0.0" left="0.7" right="0.7" top="0.75"/>
  <pageSetup orientation="landscape"/>
  <drawing r:id="rId5"/>
</worksheet>
</file>